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nickmoore/Downloads/"/>
    </mc:Choice>
  </mc:AlternateContent>
  <xr:revisionPtr revIDLastSave="0" documentId="13_ncr:1_{1396E938-6B3E-404E-AA29-5319B58A1C3B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1" l="1"/>
  <c r="I54" i="1"/>
  <c r="K54" i="1"/>
  <c r="L54" i="1"/>
  <c r="H7" i="1"/>
  <c r="I7" i="1"/>
  <c r="J7" i="1"/>
  <c r="K7" i="1"/>
  <c r="L7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9" i="1"/>
  <c r="M5" i="1"/>
  <c r="M4" i="1"/>
  <c r="J48" i="1"/>
  <c r="J52" i="1"/>
  <c r="J50" i="1"/>
  <c r="J51" i="1"/>
  <c r="M51" i="1" s="1"/>
  <c r="J49" i="1"/>
  <c r="M49" i="1" s="1"/>
  <c r="J54" i="1" l="1"/>
  <c r="M48" i="1"/>
  <c r="M52" i="1"/>
  <c r="M50" i="1"/>
</calcChain>
</file>

<file path=xl/sharedStrings.xml><?xml version="1.0" encoding="utf-8"?>
<sst xmlns="http://schemas.openxmlformats.org/spreadsheetml/2006/main" count="105" uniqueCount="92">
  <si>
    <t>First Name</t>
  </si>
  <si>
    <t>Last Name</t>
  </si>
  <si>
    <t>Birth Date</t>
  </si>
  <si>
    <t>Hire Date</t>
  </si>
  <si>
    <t>Term Date</t>
  </si>
  <si>
    <t>Rehire Date</t>
  </si>
  <si>
    <t>Hours</t>
  </si>
  <si>
    <t>Gross Comp</t>
  </si>
  <si>
    <t>Plan Comp</t>
  </si>
  <si>
    <t>Profit Sharing</t>
  </si>
  <si>
    <t>W2 Box 3 Comp</t>
  </si>
  <si>
    <t>Micah</t>
  </si>
  <si>
    <t>Anderson</t>
  </si>
  <si>
    <t>Jacob</t>
  </si>
  <si>
    <t>Armstrong</t>
  </si>
  <si>
    <t>Jeb</t>
  </si>
  <si>
    <t>Joseph</t>
  </si>
  <si>
    <t>Makenzie</t>
  </si>
  <si>
    <t>Robert</t>
  </si>
  <si>
    <t>Michael</t>
  </si>
  <si>
    <t>Arredondo</t>
  </si>
  <si>
    <t>Brian</t>
  </si>
  <si>
    <t>Ashley</t>
  </si>
  <si>
    <t>Justin</t>
  </si>
  <si>
    <t>Coleman</t>
  </si>
  <si>
    <t>Nathan</t>
  </si>
  <si>
    <t>Council</t>
  </si>
  <si>
    <t>Gerald</t>
  </si>
  <si>
    <t>Dillon</t>
  </si>
  <si>
    <t>Javier</t>
  </si>
  <si>
    <t>Dominguez</t>
  </si>
  <si>
    <t>Caleb</t>
  </si>
  <si>
    <t>Dunson</t>
  </si>
  <si>
    <t>Cody</t>
  </si>
  <si>
    <t>Gaines</t>
  </si>
  <si>
    <t>Ronald</t>
  </si>
  <si>
    <t>George</t>
  </si>
  <si>
    <t>Ronnie</t>
  </si>
  <si>
    <t>Brandy</t>
  </si>
  <si>
    <t>Goddard</t>
  </si>
  <si>
    <t>Gutierrez</t>
  </si>
  <si>
    <t>Jimmie</t>
  </si>
  <si>
    <t>Hass</t>
  </si>
  <si>
    <t>Hearn</t>
  </si>
  <si>
    <t>Edwin</t>
  </si>
  <si>
    <t>Hernandez</t>
  </si>
  <si>
    <t>Ismael</t>
  </si>
  <si>
    <t>Daniel</t>
  </si>
  <si>
    <t>Husted</t>
  </si>
  <si>
    <t>Jonathan</t>
  </si>
  <si>
    <t>Lopez</t>
  </si>
  <si>
    <t>Trevor</t>
  </si>
  <si>
    <t>McLemore</t>
  </si>
  <si>
    <t>Dylan</t>
  </si>
  <si>
    <t>Merriman</t>
  </si>
  <si>
    <t>Casey</t>
  </si>
  <si>
    <t>Moore</t>
  </si>
  <si>
    <t>Jhony</t>
  </si>
  <si>
    <t>Mora Mora</t>
  </si>
  <si>
    <t>Morgan</t>
  </si>
  <si>
    <t>Luke</t>
  </si>
  <si>
    <t>Palmer</t>
  </si>
  <si>
    <t>Riley</t>
  </si>
  <si>
    <t>Pate</t>
  </si>
  <si>
    <t>Pelton</t>
  </si>
  <si>
    <t>Kevin</t>
  </si>
  <si>
    <t>Peterson</t>
  </si>
  <si>
    <t>Franklin</t>
  </si>
  <si>
    <t>Pierce</t>
  </si>
  <si>
    <t>Kirby</t>
  </si>
  <si>
    <t>Price</t>
  </si>
  <si>
    <t>Mary</t>
  </si>
  <si>
    <t>Rountree</t>
  </si>
  <si>
    <t>Richard</t>
  </si>
  <si>
    <t>Samples</t>
  </si>
  <si>
    <t>Angie</t>
  </si>
  <si>
    <t>Scott</t>
  </si>
  <si>
    <t>Samuel</t>
  </si>
  <si>
    <t>Selby</t>
  </si>
  <si>
    <t>Malik</t>
  </si>
  <si>
    <t>Simington</t>
  </si>
  <si>
    <t>Charles</t>
  </si>
  <si>
    <t>Taylor</t>
  </si>
  <si>
    <t>Darryl</t>
  </si>
  <si>
    <t>Updegraff</t>
  </si>
  <si>
    <t>Erik</t>
  </si>
  <si>
    <t>Velazquez</t>
  </si>
  <si>
    <t>CD</t>
  </si>
  <si>
    <t>Warren</t>
  </si>
  <si>
    <t>Welk</t>
  </si>
  <si>
    <t>%</t>
  </si>
  <si>
    <t>Pre-Entry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</si>
</sst>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mm/dd/yy;@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6100"/>
      <name val="Arial"/>
      <family val="2"/>
    </font>
    <font>
      <sz val="10"/>
      <color rgb="FF0061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38" fontId="1" fillId="0" borderId="1" xfId="0" applyNumberFormat="1" applyFont="1" applyBorder="1" applyAlignment="1">
      <alignment horizontal="center" wrapText="1"/>
    </xf>
    <xf numFmtId="40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38" fontId="1" fillId="0" borderId="0" xfId="0" applyNumberFormat="1" applyFont="1" applyAlignment="1">
      <alignment horizontal="center" wrapText="1"/>
    </xf>
    <xf numFmtId="40" fontId="1" fillId="0" borderId="0" xfId="0" applyNumberFormat="1" applyFont="1" applyAlignment="1">
      <alignment horizontal="center" wrapText="1"/>
    </xf>
    <xf numFmtId="44" fontId="1" fillId="0" borderId="3" xfId="1" applyFont="1" applyBorder="1" applyAlignment="1">
      <alignment horizontal="center"/>
    </xf>
    <xf numFmtId="44" fontId="1" fillId="0" borderId="3" xfId="3" applyNumberFormat="1" applyFont="1" applyBorder="1" applyAlignment="1">
      <alignment horizontal="center"/>
    </xf>
    <xf numFmtId="44" fontId="1" fillId="0" borderId="3" xfId="0" applyNumberFormat="1" applyFont="1" applyBorder="1" applyAlignment="1">
      <alignment horizontal="center"/>
    </xf>
    <xf numFmtId="40" fontId="5" fillId="2" borderId="1" xfId="2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40" fontId="6" fillId="2" borderId="0" xfId="2" applyNumberFormat="1" applyFont="1" applyAlignment="1">
      <alignment horizontal="center" wrapText="1"/>
    </xf>
    <xf numFmtId="14" fontId="4" fillId="0" borderId="0" xfId="0" applyNumberFormat="1" applyFont="1" applyAlignment="1">
      <alignment horizontal="center"/>
    </xf>
    <xf numFmtId="44" fontId="4" fillId="0" borderId="0" xfId="1" applyFont="1" applyAlignment="1">
      <alignment horizontal="center"/>
    </xf>
    <xf numFmtId="14" fontId="4" fillId="0" borderId="0" xfId="1" applyNumberFormat="1" applyFont="1" applyAlignment="1">
      <alignment horizontal="center"/>
    </xf>
    <xf numFmtId="10" fontId="4" fillId="0" borderId="0" xfId="3" applyNumberFormat="1" applyFont="1" applyAlignment="1">
      <alignment horizontal="center"/>
    </xf>
    <xf numFmtId="44" fontId="6" fillId="2" borderId="0" xfId="2" applyNumberFormat="1" applyFont="1" applyAlignment="1">
      <alignment horizontal="center"/>
    </xf>
    <xf numFmtId="44" fontId="4" fillId="0" borderId="2" xfId="1" applyFont="1" applyBorder="1" applyAlignment="1">
      <alignment horizontal="center"/>
    </xf>
    <xf numFmtId="14" fontId="4" fillId="0" borderId="2" xfId="1" applyNumberFormat="1" applyFont="1" applyBorder="1" applyAlignment="1">
      <alignment horizontal="center"/>
    </xf>
    <xf numFmtId="10" fontId="4" fillId="0" borderId="2" xfId="3" applyNumberFormat="1" applyFont="1" applyBorder="1" applyAlignment="1">
      <alignment horizontal="center"/>
    </xf>
    <xf numFmtId="44" fontId="6" fillId="2" borderId="2" xfId="2" applyNumberFormat="1" applyFont="1" applyBorder="1" applyAlignment="1">
      <alignment horizontal="center"/>
    </xf>
    <xf numFmtId="44" fontId="5" fillId="2" borderId="3" xfId="2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44" fontId="5" fillId="2" borderId="4" xfId="2" applyNumberFormat="1" applyFont="1" applyBorder="1" applyAlignment="1">
      <alignment horizontal="center"/>
    </xf>
  </cellXfs>
  <cellStyles count="4">
    <cellStyle name="Currency" xfId="1" builtinId="4"/>
    <cellStyle name="Good" xfId="2" builtinId="2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workbookViewId="0">
      <pane ySplit="1" topLeftCell="A30" activePane="bottomLeft" state="frozen"/>
      <selection pane="bottomLeft" activeCell="O62" sqref="O62"/>
    </sheetView>
  </sheetViews>
  <sheetFormatPr baseColWidth="10" defaultColWidth="8.6640625" defaultRowHeight="13" x14ac:dyDescent="0.15"/>
  <cols>
    <col min="1" max="1" width="9.33203125" style="13" bestFit="1" customWidth="1"/>
    <col min="2" max="2" width="10.6640625" style="13" bestFit="1" customWidth="1"/>
    <col min="3" max="5" width="11" style="13" bestFit="1" customWidth="1"/>
    <col min="6" max="6" width="6.83203125" style="13" hidden="1" customWidth="1"/>
    <col min="7" max="7" width="8.1640625" style="13" bestFit="1" customWidth="1"/>
    <col min="8" max="8" width="15.33203125" style="13" bestFit="1" customWidth="1"/>
    <col min="9" max="9" width="11.1640625" style="13" hidden="1" customWidth="1"/>
    <col min="10" max="10" width="15.33203125" style="13" bestFit="1" customWidth="1"/>
    <col min="11" max="11" width="15.33203125" style="13" hidden="1" customWidth="1"/>
    <col min="12" max="12" width="11.83203125" style="13" customWidth="1"/>
    <col min="13" max="13" width="7.1640625" style="13" bestFit="1" customWidth="1"/>
    <col min="14" max="16384" width="8.6640625" style="13"/>
  </cols>
  <sheetData>
    <row r="1" spans="1:13" ht="28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91</v>
      </c>
      <c r="J1" s="4" t="s">
        <v>8</v>
      </c>
      <c r="K1" s="4" t="s">
        <v>10</v>
      </c>
      <c r="L1" s="12" t="s">
        <v>9</v>
      </c>
      <c r="M1" s="13" t="s">
        <v>90</v>
      </c>
    </row>
    <row r="2" spans="1:13" x14ac:dyDescent="0.15">
      <c r="A2" s="5"/>
      <c r="B2" s="5"/>
      <c r="C2" s="6"/>
      <c r="D2" s="6"/>
      <c r="E2" s="6"/>
      <c r="F2" s="6"/>
      <c r="G2" s="7"/>
      <c r="H2" s="8"/>
      <c r="I2" s="8"/>
      <c r="J2" s="8"/>
      <c r="K2" s="8"/>
      <c r="L2" s="14"/>
    </row>
    <row r="3" spans="1:13" x14ac:dyDescent="0.15">
      <c r="A3" s="5"/>
      <c r="B3" s="5"/>
      <c r="C3" s="6"/>
      <c r="D3" s="6"/>
      <c r="E3" s="6"/>
      <c r="F3" s="6"/>
      <c r="G3" s="7"/>
      <c r="H3" s="8"/>
      <c r="I3" s="8"/>
      <c r="J3" s="8"/>
      <c r="K3" s="8"/>
      <c r="L3" s="14"/>
    </row>
    <row r="4" spans="1:13" x14ac:dyDescent="0.15">
      <c r="A4" s="13" t="s">
        <v>25</v>
      </c>
      <c r="B4" s="13" t="s">
        <v>26</v>
      </c>
      <c r="C4" s="15">
        <v>31393</v>
      </c>
      <c r="D4" s="15">
        <v>42005</v>
      </c>
      <c r="G4" s="13">
        <v>2080</v>
      </c>
      <c r="H4" s="16">
        <v>54999.88</v>
      </c>
      <c r="I4" s="17"/>
      <c r="J4" s="16">
        <v>54999.88</v>
      </c>
      <c r="K4" s="16">
        <v>54999.88</v>
      </c>
      <c r="L4" s="19">
        <v>1370.05</v>
      </c>
      <c r="M4" s="18">
        <f>L4/J4</f>
        <v>2.4910054349209489E-2</v>
      </c>
    </row>
    <row r="5" spans="1:13" x14ac:dyDescent="0.15">
      <c r="A5" s="13" t="s">
        <v>16</v>
      </c>
      <c r="B5" s="13" t="s">
        <v>14</v>
      </c>
      <c r="C5" s="15">
        <v>31670</v>
      </c>
      <c r="D5" s="15">
        <v>42005</v>
      </c>
      <c r="G5" s="13">
        <v>2080</v>
      </c>
      <c r="H5" s="16">
        <v>54999.88</v>
      </c>
      <c r="I5" s="17"/>
      <c r="J5" s="16">
        <v>54999.88</v>
      </c>
      <c r="K5" s="16">
        <v>54999.88</v>
      </c>
      <c r="L5" s="19">
        <v>1370.05</v>
      </c>
      <c r="M5" s="18">
        <f>L5/J5</f>
        <v>2.4910054349209489E-2</v>
      </c>
    </row>
    <row r="6" spans="1:13" x14ac:dyDescent="0.15">
      <c r="C6" s="15"/>
      <c r="D6" s="15"/>
      <c r="H6" s="20"/>
      <c r="I6" s="21"/>
      <c r="J6" s="20"/>
      <c r="K6" s="20"/>
      <c r="L6" s="23"/>
      <c r="M6" s="22"/>
    </row>
    <row r="7" spans="1:13" ht="14" thickBot="1" x14ac:dyDescent="0.2">
      <c r="C7" s="15"/>
      <c r="D7" s="15"/>
      <c r="H7" s="9">
        <f t="shared" ref="H7:L7" si="0">SUM(H4:H5)</f>
        <v>109999.76</v>
      </c>
      <c r="I7" s="9">
        <f t="shared" si="0"/>
        <v>0</v>
      </c>
      <c r="J7" s="9">
        <f t="shared" si="0"/>
        <v>109999.76</v>
      </c>
      <c r="K7" s="9">
        <f t="shared" si="0"/>
        <v>109999.76</v>
      </c>
      <c r="L7" s="24">
        <f t="shared" si="0"/>
        <v>2740.1</v>
      </c>
      <c r="M7" s="10"/>
    </row>
    <row r="8" spans="1:13" ht="14" thickTop="1" x14ac:dyDescent="0.15">
      <c r="C8" s="15"/>
      <c r="D8" s="15"/>
      <c r="H8" s="16"/>
      <c r="I8" s="17"/>
      <c r="J8" s="16"/>
      <c r="K8" s="16"/>
      <c r="L8" s="19"/>
      <c r="M8" s="18"/>
    </row>
    <row r="9" spans="1:13" x14ac:dyDescent="0.15">
      <c r="A9" s="13" t="s">
        <v>18</v>
      </c>
      <c r="B9" s="13" t="s">
        <v>14</v>
      </c>
      <c r="C9" s="15">
        <v>34263</v>
      </c>
      <c r="D9" s="15">
        <v>42005</v>
      </c>
      <c r="G9" s="13">
        <v>2080</v>
      </c>
      <c r="H9" s="16">
        <v>120438.18</v>
      </c>
      <c r="I9" s="17"/>
      <c r="J9" s="16">
        <v>120438.18</v>
      </c>
      <c r="K9" s="16">
        <v>120438.18</v>
      </c>
      <c r="L9" s="19">
        <v>1000</v>
      </c>
      <c r="M9" s="18">
        <f>L9/J9</f>
        <v>8.3030148745190276E-3</v>
      </c>
    </row>
    <row r="10" spans="1:13" x14ac:dyDescent="0.15">
      <c r="A10" s="13" t="s">
        <v>13</v>
      </c>
      <c r="B10" s="13" t="s">
        <v>14</v>
      </c>
      <c r="C10" s="15">
        <v>34794</v>
      </c>
      <c r="D10" s="15">
        <v>42506</v>
      </c>
      <c r="G10" s="13">
        <v>2088</v>
      </c>
      <c r="H10" s="16">
        <v>87704.4</v>
      </c>
      <c r="I10" s="17"/>
      <c r="J10" s="16">
        <v>87704.4</v>
      </c>
      <c r="K10" s="16">
        <v>87704.4</v>
      </c>
      <c r="L10" s="19">
        <v>1000</v>
      </c>
      <c r="M10" s="18">
        <f>L10/J10</f>
        <v>1.1401936504895993E-2</v>
      </c>
    </row>
    <row r="11" spans="1:13" x14ac:dyDescent="0.15">
      <c r="A11" s="13" t="s">
        <v>87</v>
      </c>
      <c r="B11" s="13" t="s">
        <v>88</v>
      </c>
      <c r="C11" s="15">
        <v>31740</v>
      </c>
      <c r="D11" s="15">
        <v>42605</v>
      </c>
      <c r="G11" s="13">
        <v>2088</v>
      </c>
      <c r="H11" s="16">
        <v>70944.69</v>
      </c>
      <c r="I11" s="17"/>
      <c r="J11" s="16">
        <v>70944.69</v>
      </c>
      <c r="K11" s="16">
        <v>70944.69</v>
      </c>
      <c r="L11" s="19">
        <v>1000</v>
      </c>
      <c r="M11" s="18">
        <f>L11/J11</f>
        <v>1.4095487625641891E-2</v>
      </c>
    </row>
    <row r="12" spans="1:13" x14ac:dyDescent="0.15">
      <c r="A12" s="13" t="s">
        <v>27</v>
      </c>
      <c r="B12" s="13" t="s">
        <v>43</v>
      </c>
      <c r="C12" s="15">
        <v>28151</v>
      </c>
      <c r="D12" s="15">
        <v>42990</v>
      </c>
      <c r="G12" s="13">
        <v>2088</v>
      </c>
      <c r="H12" s="16">
        <v>67950.149999999994</v>
      </c>
      <c r="I12" s="17"/>
      <c r="J12" s="16">
        <v>67950.149999999994</v>
      </c>
      <c r="K12" s="16">
        <v>67950.149999999994</v>
      </c>
      <c r="L12" s="19">
        <v>1000</v>
      </c>
      <c r="M12" s="18">
        <f>L12/J12</f>
        <v>1.4716670971292927E-2</v>
      </c>
    </row>
    <row r="13" spans="1:13" x14ac:dyDescent="0.15">
      <c r="A13" s="13" t="s">
        <v>15</v>
      </c>
      <c r="B13" s="13" t="s">
        <v>14</v>
      </c>
      <c r="C13" s="15">
        <v>35613</v>
      </c>
      <c r="D13" s="15">
        <v>43123</v>
      </c>
      <c r="G13" s="13">
        <v>2088</v>
      </c>
      <c r="H13" s="16">
        <v>60798.12</v>
      </c>
      <c r="I13" s="17"/>
      <c r="J13" s="16">
        <v>60798.12</v>
      </c>
      <c r="K13" s="16">
        <v>60798.12</v>
      </c>
      <c r="L13" s="19">
        <v>1000</v>
      </c>
      <c r="M13" s="18">
        <f>L13/J13</f>
        <v>1.6447877006723233E-2</v>
      </c>
    </row>
    <row r="14" spans="1:13" x14ac:dyDescent="0.15">
      <c r="A14" s="13" t="s">
        <v>85</v>
      </c>
      <c r="B14" s="13" t="s">
        <v>86</v>
      </c>
      <c r="C14" s="15">
        <v>35097</v>
      </c>
      <c r="D14" s="15">
        <v>43488</v>
      </c>
      <c r="G14" s="13">
        <v>2382</v>
      </c>
      <c r="H14" s="16">
        <v>68803.759999999995</v>
      </c>
      <c r="I14" s="17"/>
      <c r="J14" s="16">
        <v>68803.759999999995</v>
      </c>
      <c r="K14" s="16">
        <v>68803.759999999995</v>
      </c>
      <c r="L14" s="19">
        <v>1000</v>
      </c>
      <c r="M14" s="18">
        <f>L14/J14</f>
        <v>1.4534089416043543E-2</v>
      </c>
    </row>
    <row r="15" spans="1:13" x14ac:dyDescent="0.15">
      <c r="A15" s="13" t="s">
        <v>46</v>
      </c>
      <c r="B15" s="13" t="s">
        <v>45</v>
      </c>
      <c r="C15" s="15">
        <v>31304</v>
      </c>
      <c r="D15" s="15">
        <v>43649</v>
      </c>
      <c r="G15" s="13">
        <v>2088</v>
      </c>
      <c r="H15" s="16">
        <v>92738.32</v>
      </c>
      <c r="I15" s="17"/>
      <c r="J15" s="16">
        <v>92738.32</v>
      </c>
      <c r="K15" s="16">
        <v>92738.32</v>
      </c>
      <c r="L15" s="19">
        <v>1000</v>
      </c>
      <c r="M15" s="18">
        <f>L15/J15</f>
        <v>1.0783029065007861E-2</v>
      </c>
    </row>
    <row r="16" spans="1:13" x14ac:dyDescent="0.15">
      <c r="A16" s="13" t="s">
        <v>44</v>
      </c>
      <c r="B16" s="13" t="s">
        <v>45</v>
      </c>
      <c r="C16" s="15">
        <v>32114</v>
      </c>
      <c r="D16" s="15">
        <v>43672</v>
      </c>
      <c r="G16" s="13">
        <v>2169.5</v>
      </c>
      <c r="H16" s="16">
        <v>71305.75</v>
      </c>
      <c r="I16" s="17"/>
      <c r="J16" s="16">
        <v>71305.75</v>
      </c>
      <c r="K16" s="16">
        <v>71305.75</v>
      </c>
      <c r="L16" s="19">
        <v>1000</v>
      </c>
      <c r="M16" s="18">
        <f>L16/J16</f>
        <v>1.4024114464822261E-2</v>
      </c>
    </row>
    <row r="17" spans="1:13" x14ac:dyDescent="0.15">
      <c r="A17" s="13" t="s">
        <v>19</v>
      </c>
      <c r="B17" s="13" t="s">
        <v>64</v>
      </c>
      <c r="C17" s="15">
        <v>26865</v>
      </c>
      <c r="D17" s="15">
        <v>43959</v>
      </c>
      <c r="G17" s="13">
        <v>468</v>
      </c>
      <c r="H17" s="16">
        <v>15315.64</v>
      </c>
      <c r="I17" s="17"/>
      <c r="J17" s="16">
        <v>15315.64</v>
      </c>
      <c r="K17" s="16">
        <v>15315.64</v>
      </c>
      <c r="L17" s="19">
        <v>1000</v>
      </c>
      <c r="M17" s="18">
        <f>L17/J17</f>
        <v>6.5292733441109876E-2</v>
      </c>
    </row>
    <row r="18" spans="1:13" x14ac:dyDescent="0.15">
      <c r="A18" s="13" t="s">
        <v>23</v>
      </c>
      <c r="B18" s="13" t="s">
        <v>24</v>
      </c>
      <c r="C18" s="15">
        <v>29957</v>
      </c>
      <c r="D18" s="15">
        <v>44319</v>
      </c>
      <c r="G18" s="13">
        <v>2080</v>
      </c>
      <c r="H18" s="16">
        <v>103084.94</v>
      </c>
      <c r="I18" s="17"/>
      <c r="J18" s="16">
        <v>103084.94</v>
      </c>
      <c r="K18" s="16">
        <v>103084.94</v>
      </c>
      <c r="L18" s="19">
        <v>1000</v>
      </c>
      <c r="M18" s="18">
        <f>L18/J18</f>
        <v>9.7007380515524381E-3</v>
      </c>
    </row>
    <row r="19" spans="1:13" x14ac:dyDescent="0.15">
      <c r="A19" s="13" t="s">
        <v>73</v>
      </c>
      <c r="B19" s="13" t="s">
        <v>74</v>
      </c>
      <c r="C19" s="15">
        <v>29109</v>
      </c>
      <c r="D19" s="15">
        <v>44351</v>
      </c>
      <c r="G19" s="13">
        <v>2080</v>
      </c>
      <c r="H19" s="16">
        <v>73495.28</v>
      </c>
      <c r="I19" s="17"/>
      <c r="J19" s="16">
        <v>73495.28</v>
      </c>
      <c r="K19" s="16">
        <v>73495.28</v>
      </c>
      <c r="L19" s="19">
        <v>1000</v>
      </c>
      <c r="M19" s="18">
        <f>L19/J19</f>
        <v>1.3606315943010218E-2</v>
      </c>
    </row>
    <row r="20" spans="1:13" x14ac:dyDescent="0.15">
      <c r="A20" s="13" t="s">
        <v>23</v>
      </c>
      <c r="B20" s="13" t="s">
        <v>24</v>
      </c>
      <c r="C20" s="15">
        <v>37622</v>
      </c>
      <c r="D20" s="15">
        <v>44369</v>
      </c>
      <c r="G20" s="13">
        <v>1440</v>
      </c>
      <c r="H20" s="16">
        <v>21600</v>
      </c>
      <c r="I20" s="17"/>
      <c r="J20" s="16">
        <v>21600</v>
      </c>
      <c r="K20" s="16">
        <v>21600</v>
      </c>
      <c r="L20" s="19">
        <v>1000</v>
      </c>
      <c r="M20" s="18">
        <f>L20/J20</f>
        <v>4.6296296296296294E-2</v>
      </c>
    </row>
    <row r="21" spans="1:13" x14ac:dyDescent="0.15">
      <c r="A21" s="13" t="s">
        <v>35</v>
      </c>
      <c r="B21" s="13" t="s">
        <v>36</v>
      </c>
      <c r="C21" s="15">
        <v>25050</v>
      </c>
      <c r="D21" s="15">
        <v>44517</v>
      </c>
      <c r="E21" s="15">
        <v>45911</v>
      </c>
      <c r="G21" s="13">
        <v>1460</v>
      </c>
      <c r="H21" s="16">
        <v>65298.43</v>
      </c>
      <c r="I21" s="17"/>
      <c r="J21" s="16">
        <v>65298.43</v>
      </c>
      <c r="K21" s="16">
        <v>65298.43</v>
      </c>
      <c r="L21" s="19">
        <v>1000</v>
      </c>
      <c r="M21" s="18">
        <f>L21/J21</f>
        <v>1.5314303881425633E-2</v>
      </c>
    </row>
    <row r="22" spans="1:13" x14ac:dyDescent="0.15">
      <c r="A22" s="13" t="s">
        <v>65</v>
      </c>
      <c r="B22" s="13" t="s">
        <v>89</v>
      </c>
      <c r="C22" s="15">
        <v>25864</v>
      </c>
      <c r="D22" s="15">
        <v>44568</v>
      </c>
      <c r="G22" s="13">
        <v>2002.25</v>
      </c>
      <c r="H22" s="16">
        <v>49170.13</v>
      </c>
      <c r="I22" s="17"/>
      <c r="J22" s="16">
        <v>49170.13</v>
      </c>
      <c r="K22" s="16">
        <v>49170.13</v>
      </c>
      <c r="L22" s="19">
        <v>1000</v>
      </c>
      <c r="M22" s="18">
        <f>L22/J22</f>
        <v>2.0337550460004888E-2</v>
      </c>
    </row>
    <row r="23" spans="1:13" x14ac:dyDescent="0.15">
      <c r="A23" s="13" t="s">
        <v>29</v>
      </c>
      <c r="B23" s="13" t="s">
        <v>30</v>
      </c>
      <c r="C23" s="15">
        <v>32477</v>
      </c>
      <c r="D23" s="15">
        <v>44655</v>
      </c>
      <c r="E23" s="15">
        <v>45992</v>
      </c>
      <c r="G23" s="13">
        <v>1404</v>
      </c>
      <c r="H23" s="16">
        <v>28120</v>
      </c>
      <c r="I23" s="17"/>
      <c r="J23" s="16">
        <v>28120</v>
      </c>
      <c r="K23" s="16">
        <v>28120</v>
      </c>
      <c r="L23" s="19">
        <v>1000</v>
      </c>
      <c r="M23" s="18">
        <f>L23/J23</f>
        <v>3.5561877667140827E-2</v>
      </c>
    </row>
    <row r="24" spans="1:13" x14ac:dyDescent="0.15">
      <c r="A24" s="13" t="s">
        <v>81</v>
      </c>
      <c r="B24" s="13" t="s">
        <v>82</v>
      </c>
      <c r="C24" s="15">
        <v>29005</v>
      </c>
      <c r="D24" s="15">
        <v>44767</v>
      </c>
      <c r="G24" s="13">
        <v>2080</v>
      </c>
      <c r="H24" s="16">
        <v>59798.77</v>
      </c>
      <c r="I24" s="17"/>
      <c r="J24" s="16">
        <v>59798.77</v>
      </c>
      <c r="K24" s="16">
        <v>59798.77</v>
      </c>
      <c r="L24" s="19">
        <v>1000</v>
      </c>
      <c r="M24" s="18">
        <f>L24/J24</f>
        <v>1.6722751989714839E-2</v>
      </c>
    </row>
    <row r="25" spans="1:13" x14ac:dyDescent="0.15">
      <c r="A25" s="13" t="s">
        <v>60</v>
      </c>
      <c r="B25" s="13" t="s">
        <v>61</v>
      </c>
      <c r="C25" s="15">
        <v>35280</v>
      </c>
      <c r="D25" s="15">
        <v>44784</v>
      </c>
      <c r="G25" s="13">
        <v>2073</v>
      </c>
      <c r="H25" s="16">
        <v>38883.56</v>
      </c>
      <c r="I25" s="17"/>
      <c r="J25" s="16">
        <v>38883.56</v>
      </c>
      <c r="K25" s="16">
        <v>38883.56</v>
      </c>
      <c r="L25" s="19">
        <v>1000</v>
      </c>
      <c r="M25" s="18">
        <f>L25/J25</f>
        <v>2.5717809789021377E-2</v>
      </c>
    </row>
    <row r="26" spans="1:13" x14ac:dyDescent="0.15">
      <c r="A26" s="13" t="s">
        <v>41</v>
      </c>
      <c r="B26" s="13" t="s">
        <v>42</v>
      </c>
      <c r="C26" s="15">
        <v>24137</v>
      </c>
      <c r="D26" s="15">
        <v>44949</v>
      </c>
      <c r="G26" s="13">
        <v>2091.5</v>
      </c>
      <c r="H26" s="16">
        <v>52580</v>
      </c>
      <c r="I26" s="17"/>
      <c r="J26" s="16">
        <v>52580</v>
      </c>
      <c r="K26" s="16">
        <v>52580</v>
      </c>
      <c r="L26" s="19">
        <v>1000</v>
      </c>
      <c r="M26" s="18">
        <f>L26/J26</f>
        <v>1.9018638265500189E-2</v>
      </c>
    </row>
    <row r="27" spans="1:13" x14ac:dyDescent="0.15">
      <c r="A27" s="13" t="s">
        <v>49</v>
      </c>
      <c r="B27" s="13" t="s">
        <v>50</v>
      </c>
      <c r="C27" s="15">
        <v>33889</v>
      </c>
      <c r="D27" s="15">
        <v>44956</v>
      </c>
      <c r="G27" s="13">
        <v>1951.25</v>
      </c>
      <c r="H27" s="16">
        <v>40147.75</v>
      </c>
      <c r="I27" s="17"/>
      <c r="J27" s="16">
        <v>40147.75</v>
      </c>
      <c r="K27" s="16">
        <v>40147.75</v>
      </c>
      <c r="L27" s="19">
        <v>1000</v>
      </c>
      <c r="M27" s="18">
        <f>L27/J27</f>
        <v>2.4907996089444613E-2</v>
      </c>
    </row>
    <row r="28" spans="1:13" x14ac:dyDescent="0.15">
      <c r="A28" s="13" t="s">
        <v>53</v>
      </c>
      <c r="B28" s="13" t="s">
        <v>54</v>
      </c>
      <c r="C28" s="15">
        <v>37873</v>
      </c>
      <c r="D28" s="15">
        <v>45047</v>
      </c>
      <c r="G28" s="13">
        <v>1897.5</v>
      </c>
      <c r="H28" s="16">
        <v>36545.25</v>
      </c>
      <c r="I28" s="17"/>
      <c r="J28" s="16">
        <v>36545.25</v>
      </c>
      <c r="K28" s="16">
        <v>36545.25</v>
      </c>
      <c r="L28" s="19">
        <v>1000</v>
      </c>
      <c r="M28" s="18">
        <f>L28/J28</f>
        <v>2.7363337232608888E-2</v>
      </c>
    </row>
    <row r="29" spans="1:13" x14ac:dyDescent="0.15">
      <c r="A29" s="13" t="s">
        <v>57</v>
      </c>
      <c r="B29" s="13" t="s">
        <v>58</v>
      </c>
      <c r="C29" s="15">
        <v>33984</v>
      </c>
      <c r="D29" s="15">
        <v>45056</v>
      </c>
      <c r="E29" s="15">
        <v>45939</v>
      </c>
      <c r="G29" s="13">
        <v>1664</v>
      </c>
      <c r="H29" s="16">
        <v>10269.24</v>
      </c>
      <c r="I29" s="17"/>
      <c r="J29" s="16">
        <v>10269.24</v>
      </c>
      <c r="K29" s="16">
        <v>10269.24</v>
      </c>
      <c r="L29" s="19">
        <v>1000</v>
      </c>
      <c r="M29" s="18">
        <f>L29/J29</f>
        <v>9.7378189622601086E-2</v>
      </c>
    </row>
    <row r="30" spans="1:13" x14ac:dyDescent="0.15">
      <c r="A30" s="13" t="s">
        <v>21</v>
      </c>
      <c r="B30" s="13" t="s">
        <v>22</v>
      </c>
      <c r="C30" s="15">
        <v>27534</v>
      </c>
      <c r="D30" s="15">
        <v>45124</v>
      </c>
      <c r="G30" s="13">
        <v>2080</v>
      </c>
      <c r="H30" s="16">
        <v>68894.210000000006</v>
      </c>
      <c r="I30" s="17"/>
      <c r="J30" s="16">
        <v>68894.210000000006</v>
      </c>
      <c r="K30" s="16">
        <v>68894.210000000006</v>
      </c>
      <c r="L30" s="19">
        <v>1000</v>
      </c>
      <c r="M30" s="18">
        <f>L30/J30</f>
        <v>1.451500786495701E-2</v>
      </c>
    </row>
    <row r="31" spans="1:13" x14ac:dyDescent="0.15">
      <c r="A31" s="13" t="s">
        <v>38</v>
      </c>
      <c r="B31" s="13" t="s">
        <v>39</v>
      </c>
      <c r="C31" s="15">
        <v>28535</v>
      </c>
      <c r="D31" s="15">
        <v>45187</v>
      </c>
      <c r="E31" s="15">
        <v>45834</v>
      </c>
      <c r="G31" s="13">
        <v>1016</v>
      </c>
      <c r="H31" s="16">
        <v>14038.5</v>
      </c>
      <c r="I31" s="17"/>
      <c r="J31" s="16">
        <v>14038.5</v>
      </c>
      <c r="K31" s="16">
        <v>14038.5</v>
      </c>
      <c r="L31" s="19">
        <v>1000</v>
      </c>
      <c r="M31" s="18">
        <f>L31/J31</f>
        <v>7.1232681554297114E-2</v>
      </c>
    </row>
    <row r="32" spans="1:13" x14ac:dyDescent="0.15">
      <c r="A32" s="13" t="s">
        <v>47</v>
      </c>
      <c r="B32" s="13" t="s">
        <v>48</v>
      </c>
      <c r="C32" s="15">
        <v>33049</v>
      </c>
      <c r="D32" s="15">
        <v>45250</v>
      </c>
      <c r="E32" s="15">
        <v>45897</v>
      </c>
      <c r="G32" s="13">
        <v>1952.25</v>
      </c>
      <c r="H32" s="16">
        <v>9318.75</v>
      </c>
      <c r="I32" s="17"/>
      <c r="J32" s="16">
        <v>9318.75</v>
      </c>
      <c r="K32" s="16">
        <v>9318.75</v>
      </c>
      <c r="L32" s="19">
        <v>1000</v>
      </c>
      <c r="M32" s="18">
        <f>L32/J32</f>
        <v>0.10731052984574112</v>
      </c>
    </row>
    <row r="33" spans="1:13" x14ac:dyDescent="0.15">
      <c r="A33" s="13" t="s">
        <v>17</v>
      </c>
      <c r="B33" s="13" t="s">
        <v>14</v>
      </c>
      <c r="C33" s="15">
        <v>33874</v>
      </c>
      <c r="D33" s="15">
        <v>45267</v>
      </c>
      <c r="G33" s="13">
        <v>550.5</v>
      </c>
      <c r="H33" s="16">
        <v>27624.639999999999</v>
      </c>
      <c r="I33" s="17"/>
      <c r="J33" s="16">
        <v>27624.639999999999</v>
      </c>
      <c r="K33" s="16">
        <v>27624.639999999999</v>
      </c>
      <c r="L33" s="19">
        <v>1000</v>
      </c>
      <c r="M33" s="18">
        <f>L33/J33</f>
        <v>3.6199566763584975E-2</v>
      </c>
    </row>
    <row r="34" spans="1:13" x14ac:dyDescent="0.15">
      <c r="A34" s="13" t="s">
        <v>33</v>
      </c>
      <c r="B34" s="13" t="s">
        <v>34</v>
      </c>
      <c r="C34" s="15">
        <v>34770</v>
      </c>
      <c r="D34" s="15">
        <v>45306</v>
      </c>
      <c r="E34" s="15">
        <v>45834</v>
      </c>
      <c r="G34" s="13">
        <v>595.5</v>
      </c>
      <c r="H34" s="16">
        <v>50273.11</v>
      </c>
      <c r="I34" s="17"/>
      <c r="J34" s="16">
        <v>50273.11</v>
      </c>
      <c r="K34" s="16">
        <v>50273.11</v>
      </c>
      <c r="L34" s="19">
        <v>1000</v>
      </c>
      <c r="M34" s="18">
        <f>L34/J34</f>
        <v>1.9891349470919941E-2</v>
      </c>
    </row>
    <row r="35" spans="1:13" x14ac:dyDescent="0.15">
      <c r="A35" s="13" t="s">
        <v>65</v>
      </c>
      <c r="B35" s="13" t="s">
        <v>66</v>
      </c>
      <c r="C35" s="15">
        <v>28053</v>
      </c>
      <c r="D35" s="15">
        <v>45310</v>
      </c>
      <c r="G35" s="13">
        <v>1945</v>
      </c>
      <c r="H35" s="16">
        <v>57187.19</v>
      </c>
      <c r="I35" s="17"/>
      <c r="J35" s="16">
        <v>57187.19</v>
      </c>
      <c r="K35" s="16">
        <v>57187.19</v>
      </c>
      <c r="L35" s="19">
        <v>1000</v>
      </c>
      <c r="M35" s="18">
        <f>L35/J35</f>
        <v>1.7486433587661852E-2</v>
      </c>
    </row>
    <row r="36" spans="1:13" x14ac:dyDescent="0.15">
      <c r="A36" s="13" t="s">
        <v>19</v>
      </c>
      <c r="B36" s="13" t="s">
        <v>59</v>
      </c>
      <c r="C36" s="15">
        <v>26073</v>
      </c>
      <c r="D36" s="15">
        <v>45376</v>
      </c>
      <c r="G36" s="13">
        <v>1737.25</v>
      </c>
      <c r="H36" s="16">
        <v>37743.75</v>
      </c>
      <c r="I36" s="17"/>
      <c r="J36" s="16">
        <v>37743.75</v>
      </c>
      <c r="K36" s="16">
        <v>37743.75</v>
      </c>
      <c r="L36" s="19">
        <v>1000</v>
      </c>
      <c r="M36" s="18">
        <f>L36/J36</f>
        <v>2.6494452723960921E-2</v>
      </c>
    </row>
    <row r="37" spans="1:13" x14ac:dyDescent="0.15">
      <c r="A37" s="13" t="s">
        <v>69</v>
      </c>
      <c r="B37" s="13" t="s">
        <v>70</v>
      </c>
      <c r="C37" s="15">
        <v>32222</v>
      </c>
      <c r="D37" s="15">
        <v>45383</v>
      </c>
      <c r="G37" s="13">
        <v>2126.5</v>
      </c>
      <c r="H37" s="16">
        <v>63554.239999999998</v>
      </c>
      <c r="I37" s="17"/>
      <c r="J37" s="16">
        <v>63554.239999999998</v>
      </c>
      <c r="K37" s="16">
        <v>63554.239999999998</v>
      </c>
      <c r="L37" s="19">
        <v>1000</v>
      </c>
      <c r="M37" s="18">
        <f>L37/J37</f>
        <v>1.5734591429305111E-2</v>
      </c>
    </row>
    <row r="38" spans="1:13" x14ac:dyDescent="0.15">
      <c r="A38" s="13" t="s">
        <v>19</v>
      </c>
      <c r="B38" s="13" t="s">
        <v>20</v>
      </c>
      <c r="C38" s="15">
        <v>33909</v>
      </c>
      <c r="D38" s="15">
        <v>45450</v>
      </c>
      <c r="E38" s="15">
        <v>45771</v>
      </c>
      <c r="G38" s="13">
        <v>750.5</v>
      </c>
      <c r="H38" s="16">
        <v>20918</v>
      </c>
      <c r="I38" s="17"/>
      <c r="J38" s="16">
        <v>20918</v>
      </c>
      <c r="K38" s="16">
        <v>20918</v>
      </c>
      <c r="L38" s="19">
        <v>1000</v>
      </c>
      <c r="M38" s="18">
        <f>L38/J38</f>
        <v>4.7805717563820634E-2</v>
      </c>
    </row>
    <row r="39" spans="1:13" x14ac:dyDescent="0.15">
      <c r="A39" s="13" t="s">
        <v>37</v>
      </c>
      <c r="B39" s="13" t="s">
        <v>36</v>
      </c>
      <c r="C39" s="15">
        <v>17569</v>
      </c>
      <c r="D39" s="15">
        <v>45492</v>
      </c>
      <c r="G39" s="13">
        <v>960</v>
      </c>
      <c r="H39" s="16">
        <v>37378.75</v>
      </c>
      <c r="I39" s="17"/>
      <c r="J39" s="16">
        <v>37378.75</v>
      </c>
      <c r="K39" s="16">
        <v>37378.75</v>
      </c>
      <c r="L39" s="19">
        <v>1000</v>
      </c>
      <c r="M39" s="18">
        <f>L39/J39</f>
        <v>2.6753168578403503E-2</v>
      </c>
    </row>
    <row r="40" spans="1:13" x14ac:dyDescent="0.15">
      <c r="A40" s="13" t="s">
        <v>71</v>
      </c>
      <c r="B40" s="13" t="s">
        <v>72</v>
      </c>
      <c r="C40" s="15">
        <v>23736</v>
      </c>
      <c r="D40" s="15">
        <v>45503</v>
      </c>
      <c r="G40" s="13">
        <v>2080</v>
      </c>
      <c r="H40" s="16">
        <v>46849.85</v>
      </c>
      <c r="I40" s="17"/>
      <c r="J40" s="16">
        <v>46849.85</v>
      </c>
      <c r="K40" s="16">
        <v>46849.85</v>
      </c>
      <c r="L40" s="19">
        <v>1000</v>
      </c>
      <c r="M40" s="18">
        <f>L40/J40</f>
        <v>2.1344785522258877E-2</v>
      </c>
    </row>
    <row r="41" spans="1:13" x14ac:dyDescent="0.15">
      <c r="A41" s="13" t="s">
        <v>75</v>
      </c>
      <c r="B41" s="13" t="s">
        <v>76</v>
      </c>
      <c r="C41" s="15">
        <v>29896</v>
      </c>
      <c r="D41" s="15">
        <v>45503</v>
      </c>
      <c r="G41" s="13">
        <v>2088</v>
      </c>
      <c r="H41" s="16">
        <v>43168.87</v>
      </c>
      <c r="I41" s="17"/>
      <c r="J41" s="16">
        <v>43168.87</v>
      </c>
      <c r="K41" s="16">
        <v>43168.87</v>
      </c>
      <c r="L41" s="19">
        <v>1000</v>
      </c>
      <c r="M41" s="18">
        <f>L41/J41</f>
        <v>2.3164840775308688E-2</v>
      </c>
    </row>
    <row r="42" spans="1:13" x14ac:dyDescent="0.15">
      <c r="A42" s="13" t="s">
        <v>51</v>
      </c>
      <c r="B42" s="13" t="s">
        <v>52</v>
      </c>
      <c r="C42" s="15">
        <v>33101</v>
      </c>
      <c r="D42" s="15">
        <v>45517</v>
      </c>
      <c r="G42" s="13">
        <v>2341</v>
      </c>
      <c r="H42" s="16">
        <v>99890</v>
      </c>
      <c r="I42" s="17"/>
      <c r="J42" s="16">
        <v>99890</v>
      </c>
      <c r="K42" s="16">
        <v>99890</v>
      </c>
      <c r="L42" s="19">
        <v>1000</v>
      </c>
      <c r="M42" s="18">
        <f>L42/J42</f>
        <v>1.0011012113324657E-2</v>
      </c>
    </row>
    <row r="43" spans="1:13" x14ac:dyDescent="0.15">
      <c r="A43" s="13" t="s">
        <v>19</v>
      </c>
      <c r="B43" s="13" t="s">
        <v>40</v>
      </c>
      <c r="C43" s="15">
        <v>36351</v>
      </c>
      <c r="D43" s="15">
        <v>45547</v>
      </c>
      <c r="E43" s="15">
        <v>45884</v>
      </c>
      <c r="G43" s="13">
        <v>1349.5</v>
      </c>
      <c r="H43" s="16">
        <v>28435</v>
      </c>
      <c r="I43" s="17"/>
      <c r="J43" s="16">
        <v>28435</v>
      </c>
      <c r="K43" s="16">
        <v>28435</v>
      </c>
      <c r="L43" s="19">
        <v>1000</v>
      </c>
      <c r="M43" s="18">
        <f>L43/J43</f>
        <v>3.5167926850712149E-2</v>
      </c>
    </row>
    <row r="44" spans="1:13" x14ac:dyDescent="0.15">
      <c r="A44" s="13" t="s">
        <v>11</v>
      </c>
      <c r="B44" s="13" t="s">
        <v>12</v>
      </c>
      <c r="C44" s="15">
        <v>30389</v>
      </c>
      <c r="D44" s="15">
        <v>45551</v>
      </c>
      <c r="G44" s="13">
        <v>2344.25</v>
      </c>
      <c r="H44" s="16">
        <v>69180.11</v>
      </c>
      <c r="I44" s="17"/>
      <c r="J44" s="16">
        <v>69180.11</v>
      </c>
      <c r="K44" s="16">
        <v>69180.11</v>
      </c>
      <c r="L44" s="19">
        <v>1000</v>
      </c>
      <c r="M44" s="18">
        <f>L44/J44</f>
        <v>1.4455021826360206E-2</v>
      </c>
    </row>
    <row r="45" spans="1:13" x14ac:dyDescent="0.15">
      <c r="A45" s="13" t="s">
        <v>31</v>
      </c>
      <c r="B45" s="13" t="s">
        <v>32</v>
      </c>
      <c r="C45" s="15">
        <v>35720</v>
      </c>
      <c r="D45" s="15">
        <v>45551</v>
      </c>
      <c r="E45" s="15">
        <v>45953</v>
      </c>
      <c r="G45" s="13">
        <v>1910</v>
      </c>
      <c r="H45" s="16">
        <v>45072.84</v>
      </c>
      <c r="I45" s="17"/>
      <c r="J45" s="16">
        <v>45072.84</v>
      </c>
      <c r="K45" s="16">
        <v>45072.84</v>
      </c>
      <c r="L45" s="19">
        <v>1000</v>
      </c>
      <c r="M45" s="18">
        <f>L45/J45</f>
        <v>2.2186309981798352E-2</v>
      </c>
    </row>
    <row r="46" spans="1:13" x14ac:dyDescent="0.15">
      <c r="A46" s="13" t="s">
        <v>77</v>
      </c>
      <c r="B46" s="13" t="s">
        <v>78</v>
      </c>
      <c r="C46" s="15">
        <v>36795</v>
      </c>
      <c r="D46" s="15">
        <v>45609</v>
      </c>
      <c r="E46" s="15">
        <v>45974</v>
      </c>
      <c r="G46" s="13">
        <v>1860.5</v>
      </c>
      <c r="H46" s="16">
        <v>43343.5</v>
      </c>
      <c r="I46" s="17"/>
      <c r="J46" s="16">
        <v>43343.5</v>
      </c>
      <c r="K46" s="16">
        <v>43343.5</v>
      </c>
      <c r="L46" s="19">
        <v>1000</v>
      </c>
      <c r="M46" s="18">
        <f>L46/J46</f>
        <v>2.3071510145696587E-2</v>
      </c>
    </row>
    <row r="47" spans="1:13" x14ac:dyDescent="0.15">
      <c r="A47" s="13" t="s">
        <v>79</v>
      </c>
      <c r="B47" s="13" t="s">
        <v>80</v>
      </c>
      <c r="C47" s="15">
        <v>37765</v>
      </c>
      <c r="D47" s="15">
        <v>45609</v>
      </c>
      <c r="E47" s="15">
        <v>45940</v>
      </c>
      <c r="G47" s="13">
        <v>1589.5</v>
      </c>
      <c r="H47" s="16">
        <v>33915</v>
      </c>
      <c r="I47" s="17"/>
      <c r="J47" s="16">
        <v>33915</v>
      </c>
      <c r="K47" s="16">
        <v>33915</v>
      </c>
      <c r="L47" s="19">
        <v>1000</v>
      </c>
      <c r="M47" s="18">
        <f>L47/J47</f>
        <v>2.9485478401887071E-2</v>
      </c>
    </row>
    <row r="48" spans="1:13" x14ac:dyDescent="0.15">
      <c r="A48" s="13" t="s">
        <v>67</v>
      </c>
      <c r="B48" s="13" t="s">
        <v>68</v>
      </c>
      <c r="C48" s="15">
        <v>31360</v>
      </c>
      <c r="D48" s="15">
        <v>45659</v>
      </c>
      <c r="G48" s="13">
        <v>2155.5</v>
      </c>
      <c r="H48" s="16">
        <v>61202.239999999998</v>
      </c>
      <c r="I48" s="16">
        <v>30264.84</v>
      </c>
      <c r="J48" s="16">
        <f>H48-I48</f>
        <v>30937.399999999998</v>
      </c>
      <c r="K48" s="16">
        <v>61202.239999999998</v>
      </c>
      <c r="L48" s="19">
        <v>1000</v>
      </c>
      <c r="M48" s="18">
        <f>L48/J48</f>
        <v>3.232333680270482E-2</v>
      </c>
    </row>
    <row r="49" spans="1:13" x14ac:dyDescent="0.15">
      <c r="A49" s="13" t="s">
        <v>27</v>
      </c>
      <c r="B49" s="13" t="s">
        <v>28</v>
      </c>
      <c r="C49" s="15">
        <v>21738</v>
      </c>
      <c r="D49" s="15">
        <v>45660</v>
      </c>
      <c r="G49" s="13">
        <v>2072</v>
      </c>
      <c r="H49" s="16">
        <v>119862.91</v>
      </c>
      <c r="I49" s="16">
        <v>89979.28</v>
      </c>
      <c r="J49" s="16">
        <f>H49-I49</f>
        <v>29883.630000000005</v>
      </c>
      <c r="K49" s="16">
        <v>119862.91</v>
      </c>
      <c r="L49" s="19">
        <v>1000</v>
      </c>
      <c r="M49" s="18">
        <f>L49/J49</f>
        <v>3.3463136841140113E-2</v>
      </c>
    </row>
    <row r="50" spans="1:13" x14ac:dyDescent="0.15">
      <c r="A50" s="13" t="s">
        <v>83</v>
      </c>
      <c r="B50" s="13" t="s">
        <v>84</v>
      </c>
      <c r="C50" s="15">
        <v>36096</v>
      </c>
      <c r="D50" s="15">
        <v>45677</v>
      </c>
      <c r="G50" s="13">
        <v>1952.25</v>
      </c>
      <c r="H50" s="16">
        <v>42438.26</v>
      </c>
      <c r="I50" s="16">
        <v>31857.759999999998</v>
      </c>
      <c r="J50" s="16">
        <f>H50-I50</f>
        <v>10580.500000000004</v>
      </c>
      <c r="K50" s="16">
        <v>42438.26</v>
      </c>
      <c r="L50" s="19">
        <v>1000</v>
      </c>
      <c r="M50" s="18">
        <f>L50/J50</f>
        <v>9.4513491800954558E-2</v>
      </c>
    </row>
    <row r="51" spans="1:13" x14ac:dyDescent="0.15">
      <c r="A51" s="13" t="s">
        <v>55</v>
      </c>
      <c r="B51" s="13" t="s">
        <v>56</v>
      </c>
      <c r="C51" s="15">
        <v>33610</v>
      </c>
      <c r="D51" s="15">
        <v>45691</v>
      </c>
      <c r="G51" s="13">
        <v>1844</v>
      </c>
      <c r="H51" s="16">
        <v>39807.769999999997</v>
      </c>
      <c r="I51" s="16">
        <v>29833.09</v>
      </c>
      <c r="J51" s="16">
        <f>H51-I51</f>
        <v>9974.6799999999967</v>
      </c>
      <c r="K51" s="16">
        <v>39807.769999999997</v>
      </c>
      <c r="L51" s="19">
        <v>1000</v>
      </c>
      <c r="M51" s="18">
        <f>L51/J51</f>
        <v>0.10025384272979186</v>
      </c>
    </row>
    <row r="52" spans="1:13" x14ac:dyDescent="0.15">
      <c r="A52" s="13" t="s">
        <v>62</v>
      </c>
      <c r="B52" s="13" t="s">
        <v>63</v>
      </c>
      <c r="C52" s="15">
        <v>36359</v>
      </c>
      <c r="D52" s="15">
        <v>45726</v>
      </c>
      <c r="G52" s="13">
        <v>1549.25</v>
      </c>
      <c r="H52" s="16">
        <v>29395.02</v>
      </c>
      <c r="I52" s="16">
        <v>22066.400000000001</v>
      </c>
      <c r="J52" s="16">
        <f>H52-I52</f>
        <v>7328.619999999999</v>
      </c>
      <c r="K52" s="16">
        <v>29395.02</v>
      </c>
      <c r="L52" s="19">
        <v>1000</v>
      </c>
      <c r="M52" s="18">
        <f>L52/J52</f>
        <v>0.13645133735955747</v>
      </c>
    </row>
    <row r="53" spans="1:13" x14ac:dyDescent="0.15">
      <c r="C53" s="15"/>
      <c r="D53" s="15"/>
      <c r="H53" s="20"/>
      <c r="I53" s="21"/>
      <c r="J53" s="20"/>
      <c r="K53" s="20"/>
      <c r="L53" s="23"/>
      <c r="M53" s="22"/>
    </row>
    <row r="54" spans="1:13" ht="14" thickBot="1" x14ac:dyDescent="0.2">
      <c r="C54" s="15"/>
      <c r="D54" s="15"/>
      <c r="H54" s="9">
        <f t="shared" ref="H54:L54" si="1">SUM(H9:H52)</f>
        <v>2324484.8700000006</v>
      </c>
      <c r="I54" s="9">
        <f t="shared" si="1"/>
        <v>204001.37</v>
      </c>
      <c r="J54" s="9">
        <f t="shared" si="1"/>
        <v>2120483.5000000009</v>
      </c>
      <c r="K54" s="9">
        <f t="shared" si="1"/>
        <v>2324484.8700000006</v>
      </c>
      <c r="L54" s="24">
        <f t="shared" si="1"/>
        <v>44000</v>
      </c>
      <c r="M54" s="10"/>
    </row>
    <row r="55" spans="1:13" ht="14" thickTop="1" x14ac:dyDescent="0.15">
      <c r="C55" s="15"/>
      <c r="D55" s="15"/>
      <c r="H55" s="16"/>
      <c r="I55" s="17"/>
      <c r="J55" s="16"/>
      <c r="K55" s="16"/>
      <c r="L55" s="19"/>
      <c r="M55" s="18"/>
    </row>
    <row r="56" spans="1:13" x14ac:dyDescent="0.15">
      <c r="C56" s="15"/>
      <c r="D56" s="15"/>
      <c r="H56" s="16"/>
      <c r="I56" s="17"/>
      <c r="J56" s="16"/>
      <c r="K56" s="16"/>
      <c r="L56" s="19"/>
      <c r="M56" s="18"/>
    </row>
    <row r="57" spans="1:13" x14ac:dyDescent="0.15">
      <c r="C57" s="15"/>
      <c r="D57" s="15"/>
      <c r="H57" s="16"/>
      <c r="I57" s="17"/>
      <c r="J57" s="16"/>
      <c r="K57" s="16"/>
      <c r="L57" s="19"/>
      <c r="M57" s="18"/>
    </row>
    <row r="58" spans="1:13" x14ac:dyDescent="0.15">
      <c r="C58" s="15"/>
      <c r="D58" s="15"/>
      <c r="H58" s="16"/>
      <c r="I58" s="17"/>
      <c r="J58" s="16"/>
      <c r="K58" s="16"/>
      <c r="L58" s="19"/>
      <c r="M58" s="18"/>
    </row>
    <row r="59" spans="1:13" x14ac:dyDescent="0.15">
      <c r="C59" s="15"/>
      <c r="D59" s="15"/>
      <c r="H59" s="16"/>
      <c r="I59" s="17"/>
      <c r="J59" s="16"/>
      <c r="K59" s="16"/>
      <c r="L59" s="19"/>
      <c r="M59" s="18"/>
    </row>
    <row r="60" spans="1:13" x14ac:dyDescent="0.15">
      <c r="C60" s="15"/>
      <c r="D60" s="15"/>
      <c r="H60" s="16"/>
      <c r="I60" s="17"/>
      <c r="J60" s="16"/>
      <c r="K60" s="16"/>
      <c r="L60" s="19"/>
      <c r="M60" s="18"/>
    </row>
    <row r="61" spans="1:13" x14ac:dyDescent="0.15">
      <c r="C61" s="15"/>
      <c r="D61" s="15"/>
      <c r="H61" s="16"/>
      <c r="I61" s="17"/>
      <c r="J61" s="16"/>
      <c r="K61" s="16"/>
      <c r="L61" s="19"/>
      <c r="M61" s="18"/>
    </row>
    <row r="62" spans="1:13" x14ac:dyDescent="0.15">
      <c r="H62" s="20"/>
      <c r="I62" s="20"/>
      <c r="J62" s="20"/>
      <c r="K62" s="20"/>
      <c r="L62" s="23"/>
      <c r="M62" s="25"/>
    </row>
    <row r="63" spans="1:13" ht="14" thickBot="1" x14ac:dyDescent="0.2">
      <c r="H63" s="9"/>
      <c r="I63" s="9"/>
      <c r="J63" s="9"/>
      <c r="K63" s="9"/>
      <c r="L63" s="24"/>
      <c r="M63" s="11"/>
    </row>
    <row r="64" spans="1:13" ht="14" thickTop="1" x14ac:dyDescent="0.15">
      <c r="H64" s="16"/>
      <c r="I64" s="16"/>
      <c r="J64" s="16"/>
      <c r="K64" s="16"/>
      <c r="L64" s="19"/>
    </row>
    <row r="65" spans="8:13" ht="14" thickBot="1" x14ac:dyDescent="0.2">
      <c r="H65" s="26"/>
      <c r="I65" s="26"/>
      <c r="J65" s="26"/>
      <c r="K65" s="26"/>
      <c r="L65" s="27"/>
      <c r="M65" s="26"/>
    </row>
    <row r="66" spans="8:13" ht="14" thickTop="1" x14ac:dyDescent="0.15">
      <c r="H66" s="16"/>
      <c r="I66" s="16"/>
      <c r="J66" s="16"/>
      <c r="K66" s="16"/>
      <c r="L66" s="16"/>
    </row>
  </sheetData>
  <sortState xmlns:xlrd2="http://schemas.microsoft.com/office/spreadsheetml/2017/richdata2" ref="A56:M61">
    <sortCondition ref="D56:D6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Fleischamel</dc:creator>
  <cp:lastModifiedBy>Nick Moore</cp:lastModifiedBy>
  <dcterms:created xsi:type="dcterms:W3CDTF">2016-12-13T15:47:24Z</dcterms:created>
  <dcterms:modified xsi:type="dcterms:W3CDTF">2026-02-20T06:29:15Z</dcterms:modified>
</cp:coreProperties>
</file>