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oore/Downloads/"/>
    </mc:Choice>
  </mc:AlternateContent>
  <xr:revisionPtr revIDLastSave="0" documentId="8_{79EF8CA5-4936-7649-9736-DF0E25400D85}" xr6:coauthVersionLast="47" xr6:coauthVersionMax="47" xr10:uidLastSave="{00000000-0000-0000-0000-000000000000}"/>
  <bookViews>
    <workbookView xWindow="0" yWindow="760" windowWidth="29400" windowHeight="17120" xr2:uid="{9405ECC9-2FE2-C04B-A606-7DE69416B083}"/>
  </bookViews>
  <sheets>
    <sheet name="census20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J7" i="1"/>
  <c r="K7" i="1"/>
  <c r="I38" i="1"/>
  <c r="J38" i="1"/>
  <c r="K38" i="1"/>
  <c r="H38" i="1"/>
  <c r="L5" i="1"/>
  <c r="L9" i="1"/>
  <c r="L10" i="1"/>
  <c r="L11" i="1"/>
  <c r="L12" i="1"/>
  <c r="L13" i="1"/>
  <c r="L16" i="1"/>
  <c r="L17" i="1"/>
  <c r="L18" i="1"/>
  <c r="L19" i="1"/>
  <c r="L20" i="1"/>
  <c r="L21" i="1"/>
  <c r="L22" i="1"/>
  <c r="L23" i="1"/>
  <c r="L25" i="1"/>
  <c r="L27" i="1"/>
  <c r="L28" i="1"/>
  <c r="L29" i="1"/>
  <c r="L26" i="1"/>
  <c r="L24" i="1"/>
  <c r="L14" i="1"/>
  <c r="L15" i="1"/>
  <c r="L31" i="1"/>
  <c r="L32" i="1"/>
  <c r="L33" i="1"/>
  <c r="L34" i="1"/>
  <c r="L35" i="1"/>
  <c r="L36" i="1"/>
  <c r="L4" i="1"/>
</calcChain>
</file>

<file path=xl/sharedStrings.xml><?xml version="1.0" encoding="utf-8"?>
<sst xmlns="http://schemas.openxmlformats.org/spreadsheetml/2006/main" count="279" uniqueCount="160">
  <si>
    <t>SSN</t>
  </si>
  <si>
    <t>First Name</t>
  </si>
  <si>
    <t>Last Name</t>
  </si>
  <si>
    <t>Term Date</t>
  </si>
  <si>
    <t>Rehire Date</t>
  </si>
  <si>
    <t>Hours</t>
  </si>
  <si>
    <t>Gross Comp</t>
  </si>
  <si>
    <t>Plan Comp</t>
  </si>
  <si>
    <t>W2 Box 3 Comp</t>
  </si>
  <si>
    <t>Profit Sharing</t>
  </si>
  <si>
    <t>Tinisha</t>
  </si>
  <si>
    <t>Howard</t>
  </si>
  <si>
    <t>Kevin</t>
  </si>
  <si>
    <t>Evans</t>
  </si>
  <si>
    <t>Tammy</t>
  </si>
  <si>
    <t>Coil</t>
  </si>
  <si>
    <t>Cindy</t>
  </si>
  <si>
    <t>Aquila</t>
  </si>
  <si>
    <t>Derrick</t>
  </si>
  <si>
    <t>Rose</t>
  </si>
  <si>
    <t>Rafael</t>
  </si>
  <si>
    <t>Garcia</t>
  </si>
  <si>
    <t>Scot</t>
  </si>
  <si>
    <t>Crispin</t>
  </si>
  <si>
    <t>May</t>
  </si>
  <si>
    <t>Darlene</t>
  </si>
  <si>
    <t>Scruggs</t>
  </si>
  <si>
    <t>Roman</t>
  </si>
  <si>
    <t>De Leon</t>
  </si>
  <si>
    <t>Katrina</t>
  </si>
  <si>
    <t>Hilker</t>
  </si>
  <si>
    <t>Esteban</t>
  </si>
  <si>
    <t>Gomez</t>
  </si>
  <si>
    <t>Pete</t>
  </si>
  <si>
    <t>Mendoza</t>
  </si>
  <si>
    <t>Kyle</t>
  </si>
  <si>
    <t>Foster</t>
  </si>
  <si>
    <t>Sherry</t>
  </si>
  <si>
    <t>Perry</t>
  </si>
  <si>
    <t>Jason</t>
  </si>
  <si>
    <t>Jones</t>
  </si>
  <si>
    <t>Nancy</t>
  </si>
  <si>
    <t>Calderon Reyes</t>
  </si>
  <si>
    <t>Anndrea</t>
  </si>
  <si>
    <t>Benavidez</t>
  </si>
  <si>
    <t>Nicholas</t>
  </si>
  <si>
    <t>Crowder</t>
  </si>
  <si>
    <t>Spencer</t>
  </si>
  <si>
    <t>Martha</t>
  </si>
  <si>
    <t>Rangel</t>
  </si>
  <si>
    <t>Elizabeth</t>
  </si>
  <si>
    <t>Castro</t>
  </si>
  <si>
    <t>Batchelder</t>
  </si>
  <si>
    <t>Beatty</t>
  </si>
  <si>
    <t>Zackery</t>
  </si>
  <si>
    <t>Daughtrey</t>
  </si>
  <si>
    <t>Ferguson</t>
  </si>
  <si>
    <t>Rodolfo</t>
  </si>
  <si>
    <t>Flores</t>
  </si>
  <si>
    <t>Morales</t>
  </si>
  <si>
    <t>Pamplin</t>
  </si>
  <si>
    <t>Phillips</t>
  </si>
  <si>
    <t>Miguel</t>
  </si>
  <si>
    <t>Sullivan</t>
  </si>
  <si>
    <t>Middle Initial</t>
  </si>
  <si>
    <t>Address 1</t>
  </si>
  <si>
    <t>Address 2</t>
  </si>
  <si>
    <t>City</t>
  </si>
  <si>
    <t>State</t>
  </si>
  <si>
    <t>Zip</t>
  </si>
  <si>
    <t>Date of Birth</t>
  </si>
  <si>
    <t>Date of Hire</t>
  </si>
  <si>
    <t>Date of Rehire</t>
  </si>
  <si>
    <t>Pre-Tax Deferrals</t>
  </si>
  <si>
    <t>Roth Deferrals</t>
  </si>
  <si>
    <t>Loan Payment</t>
  </si>
  <si>
    <t>E</t>
  </si>
  <si>
    <t>4324 Crenshaw</t>
  </si>
  <si>
    <t>Fort Worth</t>
  </si>
  <si>
    <t>TX</t>
  </si>
  <si>
    <t>L</t>
  </si>
  <si>
    <t>1551 Oak Lawn Ave</t>
  </si>
  <si>
    <t>Apt #143</t>
  </si>
  <si>
    <t>Dallas</t>
  </si>
  <si>
    <t>520 Wiltshire Blvd</t>
  </si>
  <si>
    <t>Lewisville</t>
  </si>
  <si>
    <t>1514 Gardenia St</t>
  </si>
  <si>
    <t>Prosper</t>
  </si>
  <si>
    <t>6110 Creek Crossing</t>
  </si>
  <si>
    <t>Sachse</t>
  </si>
  <si>
    <t>A</t>
  </si>
  <si>
    <t>5117 Durango Dr</t>
  </si>
  <si>
    <t>Garland</t>
  </si>
  <si>
    <t>C</t>
  </si>
  <si>
    <t>6255 Oram St</t>
  </si>
  <si>
    <t>#300</t>
  </si>
  <si>
    <t>Christopher</t>
  </si>
  <si>
    <t>Todd</t>
  </si>
  <si>
    <t>2113 Lavender Ln</t>
  </si>
  <si>
    <t>Flower Mound</t>
  </si>
  <si>
    <t>405 Bardwell Way</t>
  </si>
  <si>
    <t>Forney</t>
  </si>
  <si>
    <t>603 Hazeltine Rd</t>
  </si>
  <si>
    <t>Red Oak</t>
  </si>
  <si>
    <t>101 Trophy Trail</t>
  </si>
  <si>
    <t>R</t>
  </si>
  <si>
    <t>1259 Travis Ln</t>
  </si>
  <si>
    <t>Kaufman</t>
  </si>
  <si>
    <t>1537 Hardy Rd</t>
  </si>
  <si>
    <t>Grand Prairie</t>
  </si>
  <si>
    <t>B</t>
  </si>
  <si>
    <t>4021 Mountain Pass Dr</t>
  </si>
  <si>
    <t>Plano</t>
  </si>
  <si>
    <t>129 Paschall</t>
  </si>
  <si>
    <t>Sunnyvale</t>
  </si>
  <si>
    <t>M</t>
  </si>
  <si>
    <t>3847 Highgrove Dr</t>
  </si>
  <si>
    <t>4209 Arrowwood St</t>
  </si>
  <si>
    <t>Mesquite</t>
  </si>
  <si>
    <t>8313 Martha Lane</t>
  </si>
  <si>
    <t>Rowlett</t>
  </si>
  <si>
    <t>3847 Timberglen Rd</t>
  </si>
  <si>
    <t>#4323</t>
  </si>
  <si>
    <t>Addison</t>
  </si>
  <si>
    <t>4703 Munger Ave</t>
  </si>
  <si>
    <t>Unit 202</t>
  </si>
  <si>
    <t>G</t>
  </si>
  <si>
    <t>10355 Shayna Dr</t>
  </si>
  <si>
    <t>2312 Yorktown Dr</t>
  </si>
  <si>
    <t>Amber</t>
  </si>
  <si>
    <t>P</t>
  </si>
  <si>
    <t>4900 Joe Ramsey Blvd E</t>
  </si>
  <si>
    <t>Apt 1512</t>
  </si>
  <si>
    <t>Greenville</t>
  </si>
  <si>
    <t>Theresa</t>
  </si>
  <si>
    <t>18790 Lloyd Dr</t>
  </si>
  <si>
    <t>Apt 125</t>
  </si>
  <si>
    <t>14500 Dallas Parkway</t>
  </si>
  <si>
    <t>Apt 1146</t>
  </si>
  <si>
    <t>Terri</t>
  </si>
  <si>
    <t>8590 CR 4044</t>
  </si>
  <si>
    <t>Kemp</t>
  </si>
  <si>
    <t>1770 Clarendon Do</t>
  </si>
  <si>
    <t>Aldo</t>
  </si>
  <si>
    <t>1515 Monte Carlo St</t>
  </si>
  <si>
    <t>Shaun</t>
  </si>
  <si>
    <t>9555 County Rd 534</t>
  </si>
  <si>
    <t>Whitewright</t>
  </si>
  <si>
    <t>Charles</t>
  </si>
  <si>
    <t>3209 Mandina Court</t>
  </si>
  <si>
    <t>McKinney</t>
  </si>
  <si>
    <t>1611 Windsong Lane</t>
  </si>
  <si>
    <t>Irving</t>
  </si>
  <si>
    <t>Justin</t>
  </si>
  <si>
    <t>D</t>
  </si>
  <si>
    <t>4253 Hunt Drive</t>
  </si>
  <si>
    <t>Apt 1310</t>
  </si>
  <si>
    <t>Carrollton</t>
  </si>
  <si>
    <t>Date of Termination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</si>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</sst>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6100"/>
      <name val="Arial"/>
      <family val="2"/>
    </font>
    <font>
      <sz val="10"/>
      <color rgb="FF0061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44" fontId="18" fillId="0" borderId="0" xfId="42" applyFont="1" applyAlignment="1">
      <alignment horizontal="center"/>
    </xf>
    <xf numFmtId="0" fontId="19" fillId="0" borderId="0" xfId="0" applyFont="1" applyAlignment="1">
      <alignment horizontal="center" wrapText="1"/>
    </xf>
    <xf numFmtId="10" fontId="18" fillId="0" borderId="0" xfId="43" applyNumberFormat="1" applyFont="1" applyAlignment="1">
      <alignment horizontal="center"/>
    </xf>
    <xf numFmtId="44" fontId="18" fillId="0" borderId="10" xfId="42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44" fontId="19" fillId="0" borderId="11" xfId="0" applyNumberFormat="1" applyFont="1" applyBorder="1" applyAlignment="1">
      <alignment horizontal="center"/>
    </xf>
    <xf numFmtId="10" fontId="18" fillId="0" borderId="10" xfId="43" applyNumberFormat="1" applyFont="1" applyBorder="1" applyAlignment="1">
      <alignment horizontal="center"/>
    </xf>
    <xf numFmtId="44" fontId="19" fillId="0" borderId="11" xfId="42" applyFont="1" applyBorder="1" applyAlignment="1">
      <alignment horizontal="center"/>
    </xf>
    <xf numFmtId="44" fontId="19" fillId="0" borderId="11" xfId="43" applyNumberFormat="1" applyFont="1" applyBorder="1" applyAlignment="1">
      <alignment horizontal="center"/>
    </xf>
    <xf numFmtId="44" fontId="19" fillId="0" borderId="12" xfId="42" applyFont="1" applyBorder="1" applyAlignment="1">
      <alignment horizontal="center"/>
    </xf>
    <xf numFmtId="0" fontId="20" fillId="2" borderId="0" xfId="6" applyFont="1" applyAlignment="1">
      <alignment horizontal="center" wrapText="1"/>
    </xf>
    <xf numFmtId="0" fontId="21" fillId="2" borderId="0" xfId="6" applyFont="1" applyAlignment="1">
      <alignment horizontal="center"/>
    </xf>
    <xf numFmtId="44" fontId="21" fillId="2" borderId="0" xfId="6" applyNumberFormat="1" applyFont="1" applyAlignment="1">
      <alignment horizontal="center"/>
    </xf>
    <xf numFmtId="44" fontId="21" fillId="2" borderId="10" xfId="6" applyNumberFormat="1" applyFont="1" applyBorder="1" applyAlignment="1">
      <alignment horizontal="center"/>
    </xf>
    <xf numFmtId="44" fontId="20" fillId="2" borderId="11" xfId="6" applyNumberFormat="1" applyFont="1" applyBorder="1" applyAlignment="1">
      <alignment horizontal="center"/>
    </xf>
    <xf numFmtId="0" fontId="21" fillId="2" borderId="10" xfId="6" applyFont="1" applyBorder="1" applyAlignment="1">
      <alignment horizontal="center"/>
    </xf>
    <xf numFmtId="44" fontId="20" fillId="2" borderId="12" xfId="6" applyNumberFormat="1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DA84-8BEC-754A-BE74-CF7EB5131039}">
  <dimension ref="A1:L47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baseColWidth="10" defaultColWidth="11.1640625" defaultRowHeight="13" x14ac:dyDescent="0.15"/>
  <cols>
    <col min="1" max="1" width="9.33203125" style="3" bestFit="1" customWidth="1"/>
    <col min="2" max="2" width="12.6640625" style="3" bestFit="1" customWidth="1"/>
    <col min="3" max="3" width="11" style="3" bestFit="1" customWidth="1"/>
    <col min="4" max="4" width="10.33203125" style="3" bestFit="1" customWidth="1"/>
    <col min="5" max="5" width="9.1640625" style="3" bestFit="1" customWidth="1"/>
    <col min="6" max="6" width="9.6640625" style="3" hidden="1" customWidth="1"/>
    <col min="7" max="7" width="7.33203125" style="3" bestFit="1" customWidth="1"/>
    <col min="8" max="8" width="25.83203125" style="3" customWidth="1"/>
    <col min="9" max="9" width="24.83203125" style="3" customWidth="1"/>
    <col min="10" max="10" width="13.83203125" style="3" customWidth="1"/>
    <col min="11" max="11" width="10.83203125" style="3" customWidth="1"/>
    <col min="12" max="12" width="13.83203125" style="3" customWidth="1"/>
    <col min="13" max="16384" width="11.1640625" style="3"/>
  </cols>
  <sheetData>
    <row r="1" spans="1:12" s="7" customFormat="1" ht="28" x14ac:dyDescent="0.15">
      <c r="A1" s="7" t="s">
        <v>1</v>
      </c>
      <c r="B1" s="7" t="s">
        <v>2</v>
      </c>
      <c r="C1" s="7" t="s">
        <v>70</v>
      </c>
      <c r="D1" s="7" t="s">
        <v>71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16" t="s">
        <v>9</v>
      </c>
      <c r="L1" s="7" t="s">
        <v>159</v>
      </c>
    </row>
    <row r="2" spans="1:12" x14ac:dyDescent="0.15">
      <c r="A2" s="4"/>
      <c r="B2" s="4"/>
      <c r="C2" s="4"/>
      <c r="D2" s="4"/>
      <c r="K2" s="17"/>
    </row>
    <row r="3" spans="1:12" x14ac:dyDescent="0.15">
      <c r="A3" s="4"/>
      <c r="B3" s="4"/>
      <c r="C3" s="4"/>
      <c r="D3" s="4"/>
      <c r="K3" s="17"/>
    </row>
    <row r="4" spans="1:12" x14ac:dyDescent="0.15">
      <c r="A4" s="3" t="s">
        <v>37</v>
      </c>
      <c r="B4" s="3" t="s">
        <v>38</v>
      </c>
      <c r="C4" s="5">
        <v>20888</v>
      </c>
      <c r="D4" s="5">
        <v>31382</v>
      </c>
      <c r="G4" s="3">
        <v>2080</v>
      </c>
      <c r="H4" s="6">
        <v>274345.46000000002</v>
      </c>
      <c r="I4" s="6">
        <v>274345.46000000002</v>
      </c>
      <c r="J4" s="6">
        <v>176100</v>
      </c>
      <c r="K4" s="18">
        <v>70000</v>
      </c>
      <c r="L4" s="8">
        <f>K4/I4</f>
        <v>0.25515275521599662</v>
      </c>
    </row>
    <row r="5" spans="1:12" x14ac:dyDescent="0.15">
      <c r="A5" s="3" t="s">
        <v>47</v>
      </c>
      <c r="B5" s="3" t="s">
        <v>38</v>
      </c>
      <c r="C5" s="5">
        <v>35169</v>
      </c>
      <c r="D5" s="5">
        <v>42856</v>
      </c>
      <c r="G5" s="3">
        <v>2160</v>
      </c>
      <c r="H5" s="6">
        <v>182019.73</v>
      </c>
      <c r="I5" s="6">
        <v>182019.73</v>
      </c>
      <c r="J5" s="6">
        <v>176100</v>
      </c>
      <c r="K5" s="18">
        <v>1820.19</v>
      </c>
      <c r="L5" s="8">
        <f>K5/I5</f>
        <v>9.9999598944575958E-3</v>
      </c>
    </row>
    <row r="6" spans="1:12" x14ac:dyDescent="0.15">
      <c r="C6" s="5"/>
      <c r="D6" s="5"/>
      <c r="H6" s="9"/>
      <c r="I6" s="9"/>
      <c r="J6" s="9"/>
      <c r="K6" s="19"/>
      <c r="L6" s="12"/>
    </row>
    <row r="7" spans="1:12" ht="14" thickBot="1" x14ac:dyDescent="0.2">
      <c r="C7" s="5"/>
      <c r="D7" s="5"/>
      <c r="H7" s="13">
        <f t="shared" ref="H7:K7" si="0">SUM(H4:H5)</f>
        <v>456365.19000000006</v>
      </c>
      <c r="I7" s="13">
        <f t="shared" si="0"/>
        <v>456365.19000000006</v>
      </c>
      <c r="J7" s="13">
        <f t="shared" si="0"/>
        <v>352200</v>
      </c>
      <c r="K7" s="20">
        <f t="shared" si="0"/>
        <v>71820.19</v>
      </c>
      <c r="L7" s="14"/>
    </row>
    <row r="8" spans="1:12" ht="14" thickTop="1" x14ac:dyDescent="0.15">
      <c r="C8" s="5"/>
      <c r="D8" s="5"/>
      <c r="H8" s="6"/>
      <c r="I8" s="6"/>
      <c r="J8" s="6"/>
      <c r="K8" s="18"/>
      <c r="L8" s="8"/>
    </row>
    <row r="9" spans="1:12" x14ac:dyDescent="0.15">
      <c r="A9" s="3" t="s">
        <v>25</v>
      </c>
      <c r="B9" s="3" t="s">
        <v>26</v>
      </c>
      <c r="C9" s="5">
        <v>26177</v>
      </c>
      <c r="D9" s="5">
        <v>41974</v>
      </c>
      <c r="G9" s="3">
        <v>2160</v>
      </c>
      <c r="H9" s="6">
        <v>83029.08</v>
      </c>
      <c r="I9" s="6">
        <v>83029.08</v>
      </c>
      <c r="J9" s="6">
        <v>85903.14</v>
      </c>
      <c r="K9" s="18">
        <v>4151.45</v>
      </c>
      <c r="L9" s="8">
        <f t="shared" ref="L9:L29" si="1">K9/I9</f>
        <v>4.9999951824107887E-2</v>
      </c>
    </row>
    <row r="10" spans="1:12" x14ac:dyDescent="0.15">
      <c r="A10" s="3" t="s">
        <v>16</v>
      </c>
      <c r="B10" s="3" t="s">
        <v>17</v>
      </c>
      <c r="C10" s="5">
        <v>25037</v>
      </c>
      <c r="D10" s="5">
        <v>43857</v>
      </c>
      <c r="E10" s="5">
        <v>45748</v>
      </c>
      <c r="G10" s="3">
        <v>1341.25</v>
      </c>
      <c r="H10" s="6">
        <v>30950.41</v>
      </c>
      <c r="I10" s="6">
        <v>30950.41</v>
      </c>
      <c r="J10" s="6">
        <v>31325.45</v>
      </c>
      <c r="K10" s="18">
        <v>1547.52</v>
      </c>
      <c r="L10" s="8">
        <f t="shared" si="1"/>
        <v>4.9999983845125155E-2</v>
      </c>
    </row>
    <row r="11" spans="1:12" x14ac:dyDescent="0.15">
      <c r="A11" s="3" t="s">
        <v>14</v>
      </c>
      <c r="B11" s="3" t="s">
        <v>15</v>
      </c>
      <c r="C11" s="5">
        <v>23877</v>
      </c>
      <c r="D11" s="5">
        <v>44200</v>
      </c>
      <c r="G11" s="3">
        <v>2160</v>
      </c>
      <c r="H11" s="6">
        <v>116636.23</v>
      </c>
      <c r="I11" s="6">
        <v>116636.23</v>
      </c>
      <c r="J11" s="6">
        <v>119061.94</v>
      </c>
      <c r="K11" s="18">
        <v>5831.81</v>
      </c>
      <c r="L11" s="8">
        <f t="shared" si="1"/>
        <v>4.9999987139502031E-2</v>
      </c>
    </row>
    <row r="12" spans="1:12" x14ac:dyDescent="0.15">
      <c r="A12" s="3" t="s">
        <v>96</v>
      </c>
      <c r="B12" s="3" t="s">
        <v>24</v>
      </c>
      <c r="C12" s="5">
        <v>24578</v>
      </c>
      <c r="D12" s="5">
        <v>44221</v>
      </c>
      <c r="E12" s="5">
        <v>45943</v>
      </c>
      <c r="G12" s="3">
        <v>1640</v>
      </c>
      <c r="H12" s="6">
        <v>108618.41</v>
      </c>
      <c r="I12" s="6">
        <v>108618.41</v>
      </c>
      <c r="J12" s="6">
        <v>111330.32</v>
      </c>
      <c r="K12" s="18">
        <v>5430.92</v>
      </c>
      <c r="L12" s="8">
        <f t="shared" si="1"/>
        <v>4.9999995396728787E-2</v>
      </c>
    </row>
    <row r="13" spans="1:12" x14ac:dyDescent="0.15">
      <c r="A13" s="3" t="s">
        <v>39</v>
      </c>
      <c r="B13" s="3" t="s">
        <v>40</v>
      </c>
      <c r="C13" s="5">
        <v>28694</v>
      </c>
      <c r="D13" s="5">
        <v>44739</v>
      </c>
      <c r="G13" s="3">
        <v>2135.5</v>
      </c>
      <c r="H13" s="6">
        <v>54053.42</v>
      </c>
      <c r="I13" s="6">
        <v>54053.42</v>
      </c>
      <c r="J13" s="6">
        <v>58253.42</v>
      </c>
      <c r="K13" s="18">
        <v>2702.67</v>
      </c>
      <c r="L13" s="8">
        <f t="shared" si="1"/>
        <v>4.9999981499782999E-2</v>
      </c>
    </row>
    <row r="14" spans="1:12" x14ac:dyDescent="0.15">
      <c r="A14" s="3" t="s">
        <v>18</v>
      </c>
      <c r="B14" s="3" t="s">
        <v>19</v>
      </c>
      <c r="C14" s="5">
        <v>30158</v>
      </c>
      <c r="D14" s="5">
        <v>45034</v>
      </c>
      <c r="E14" s="5">
        <v>45709</v>
      </c>
      <c r="G14" s="3">
        <v>492</v>
      </c>
      <c r="H14" s="6">
        <v>11910</v>
      </c>
      <c r="I14" s="6">
        <v>11910</v>
      </c>
      <c r="J14" s="6">
        <v>11910</v>
      </c>
      <c r="K14" s="18">
        <v>0</v>
      </c>
      <c r="L14" s="8">
        <f t="shared" si="1"/>
        <v>0</v>
      </c>
    </row>
    <row r="15" spans="1:12" x14ac:dyDescent="0.15">
      <c r="A15" s="3" t="s">
        <v>48</v>
      </c>
      <c r="B15" s="3" t="s">
        <v>49</v>
      </c>
      <c r="C15" s="5">
        <v>36305</v>
      </c>
      <c r="D15" s="5">
        <v>45061</v>
      </c>
      <c r="E15" s="5">
        <v>45660</v>
      </c>
      <c r="G15" s="3">
        <v>107.25</v>
      </c>
      <c r="H15" s="6">
        <v>2252.25</v>
      </c>
      <c r="I15" s="6">
        <v>2252.25</v>
      </c>
      <c r="J15" s="6">
        <v>2252.25</v>
      </c>
      <c r="K15" s="18">
        <v>0</v>
      </c>
      <c r="L15" s="8">
        <f t="shared" si="1"/>
        <v>0</v>
      </c>
    </row>
    <row r="16" spans="1:12" x14ac:dyDescent="0.15">
      <c r="A16" s="3" t="s">
        <v>12</v>
      </c>
      <c r="B16" s="3" t="s">
        <v>13</v>
      </c>
      <c r="C16" s="5">
        <v>31670</v>
      </c>
      <c r="D16" s="5">
        <v>45159</v>
      </c>
      <c r="G16" s="3">
        <v>2249.75</v>
      </c>
      <c r="H16" s="6">
        <v>68581.8</v>
      </c>
      <c r="I16" s="6">
        <v>68581.8</v>
      </c>
      <c r="J16" s="6">
        <v>68581.8</v>
      </c>
      <c r="K16" s="18">
        <v>3429.09</v>
      </c>
      <c r="L16" s="8">
        <f t="shared" si="1"/>
        <v>0.05</v>
      </c>
    </row>
    <row r="17" spans="1:12" x14ac:dyDescent="0.15">
      <c r="A17" s="3" t="s">
        <v>27</v>
      </c>
      <c r="B17" s="3" t="s">
        <v>28</v>
      </c>
      <c r="C17" s="5">
        <v>27669</v>
      </c>
      <c r="D17" s="5">
        <v>45176</v>
      </c>
      <c r="G17" s="3">
        <v>2346.5</v>
      </c>
      <c r="H17" s="6">
        <v>73699.38</v>
      </c>
      <c r="I17" s="6">
        <v>73699.38</v>
      </c>
      <c r="J17" s="6">
        <v>73699.38</v>
      </c>
      <c r="K17" s="18">
        <v>3684.97</v>
      </c>
      <c r="L17" s="8">
        <f t="shared" si="1"/>
        <v>5.000001356863517E-2</v>
      </c>
    </row>
    <row r="18" spans="1:12" x14ac:dyDescent="0.15">
      <c r="A18" s="3" t="s">
        <v>31</v>
      </c>
      <c r="B18" s="3" t="s">
        <v>32</v>
      </c>
      <c r="C18" s="5">
        <v>31167</v>
      </c>
      <c r="D18" s="5">
        <v>45189</v>
      </c>
      <c r="G18" s="3">
        <v>2160</v>
      </c>
      <c r="H18" s="6">
        <v>96122.92</v>
      </c>
      <c r="I18" s="6">
        <v>96122.92</v>
      </c>
      <c r="J18" s="6">
        <v>98315.47</v>
      </c>
      <c r="K18" s="18">
        <v>4806.1499999999996</v>
      </c>
      <c r="L18" s="8">
        <f t="shared" si="1"/>
        <v>5.0000041613384193E-2</v>
      </c>
    </row>
    <row r="19" spans="1:12" x14ac:dyDescent="0.15">
      <c r="A19" s="3" t="s">
        <v>50</v>
      </c>
      <c r="B19" s="3" t="s">
        <v>51</v>
      </c>
      <c r="C19" s="5">
        <v>36023</v>
      </c>
      <c r="D19" s="5">
        <v>45196</v>
      </c>
      <c r="G19" s="3">
        <v>2038.25</v>
      </c>
      <c r="H19" s="6">
        <v>53220.18</v>
      </c>
      <c r="I19" s="6">
        <v>53220.18</v>
      </c>
      <c r="J19" s="6">
        <v>55071.3</v>
      </c>
      <c r="K19" s="18">
        <v>2661.01</v>
      </c>
      <c r="L19" s="8">
        <f t="shared" si="1"/>
        <v>5.0000018789865049E-2</v>
      </c>
    </row>
    <row r="20" spans="1:12" x14ac:dyDescent="0.15">
      <c r="A20" s="3" t="s">
        <v>22</v>
      </c>
      <c r="B20" s="3" t="s">
        <v>23</v>
      </c>
      <c r="C20" s="5">
        <v>28688</v>
      </c>
      <c r="D20" s="5">
        <v>45223</v>
      </c>
      <c r="G20" s="3">
        <v>2287</v>
      </c>
      <c r="H20" s="6">
        <v>58762.23</v>
      </c>
      <c r="I20" s="6">
        <v>58762.23</v>
      </c>
      <c r="J20" s="6">
        <v>60506.83</v>
      </c>
      <c r="K20" s="18">
        <v>2938.11</v>
      </c>
      <c r="L20" s="8">
        <f t="shared" si="1"/>
        <v>4.9999974473398982E-2</v>
      </c>
    </row>
    <row r="21" spans="1:12" x14ac:dyDescent="0.15">
      <c r="A21" s="3" t="s">
        <v>35</v>
      </c>
      <c r="B21" s="3" t="s">
        <v>36</v>
      </c>
      <c r="C21" s="5">
        <v>31790</v>
      </c>
      <c r="D21" s="5">
        <v>45243</v>
      </c>
      <c r="G21" s="3">
        <v>2171.5</v>
      </c>
      <c r="H21" s="6">
        <v>53450.83</v>
      </c>
      <c r="I21" s="6">
        <v>53450.83</v>
      </c>
      <c r="J21" s="6">
        <v>54614.04</v>
      </c>
      <c r="K21" s="18">
        <v>2672.54</v>
      </c>
      <c r="L21" s="8">
        <f t="shared" si="1"/>
        <v>4.9999971936824927E-2</v>
      </c>
    </row>
    <row r="22" spans="1:12" x14ac:dyDescent="0.15">
      <c r="A22" s="3" t="s">
        <v>139</v>
      </c>
      <c r="B22" s="3" t="s">
        <v>56</v>
      </c>
      <c r="C22" s="5">
        <v>22008</v>
      </c>
      <c r="D22" s="5">
        <v>45273</v>
      </c>
      <c r="G22" s="3">
        <v>425</v>
      </c>
      <c r="H22" s="6">
        <v>15655.62</v>
      </c>
      <c r="I22" s="6">
        <v>15655.62</v>
      </c>
      <c r="J22" s="6">
        <v>15655.62</v>
      </c>
      <c r="K22" s="18">
        <v>0</v>
      </c>
      <c r="L22" s="8">
        <f t="shared" si="1"/>
        <v>0</v>
      </c>
    </row>
    <row r="23" spans="1:12" x14ac:dyDescent="0.15">
      <c r="A23" s="3" t="s">
        <v>20</v>
      </c>
      <c r="B23" s="3" t="s">
        <v>21</v>
      </c>
      <c r="C23" s="5">
        <v>25741</v>
      </c>
      <c r="D23" s="5">
        <v>45320</v>
      </c>
      <c r="G23" s="3">
        <v>2252.25</v>
      </c>
      <c r="H23" s="6">
        <v>69210.350000000006</v>
      </c>
      <c r="I23" s="6">
        <v>69210.350000000006</v>
      </c>
      <c r="J23" s="6">
        <v>70736.62</v>
      </c>
      <c r="K23" s="18">
        <v>3460.52</v>
      </c>
      <c r="L23" s="8">
        <f t="shared" si="1"/>
        <v>5.0000036121765019E-2</v>
      </c>
    </row>
    <row r="24" spans="1:12" x14ac:dyDescent="0.15">
      <c r="A24" s="3" t="s">
        <v>45</v>
      </c>
      <c r="B24" s="3" t="s">
        <v>46</v>
      </c>
      <c r="C24" s="5">
        <v>36838</v>
      </c>
      <c r="D24" s="5">
        <v>45334</v>
      </c>
      <c r="E24" s="5">
        <v>45695</v>
      </c>
      <c r="G24" s="3">
        <v>284.5</v>
      </c>
      <c r="H24" s="6">
        <v>6601.01</v>
      </c>
      <c r="I24" s="6">
        <v>6601.01</v>
      </c>
      <c r="J24" s="6">
        <v>6601.01</v>
      </c>
      <c r="K24" s="18">
        <v>0</v>
      </c>
      <c r="L24" s="8">
        <f t="shared" si="1"/>
        <v>0</v>
      </c>
    </row>
    <row r="25" spans="1:12" x14ac:dyDescent="0.15">
      <c r="A25" s="3" t="s">
        <v>41</v>
      </c>
      <c r="B25" s="3" t="s">
        <v>42</v>
      </c>
      <c r="C25" s="5">
        <v>35335</v>
      </c>
      <c r="D25" s="5">
        <v>45355</v>
      </c>
      <c r="G25" s="3">
        <v>2113.0100000000002</v>
      </c>
      <c r="H25" s="6">
        <v>55805.33</v>
      </c>
      <c r="I25" s="6">
        <v>55805.33</v>
      </c>
      <c r="J25" s="6">
        <v>57034.62</v>
      </c>
      <c r="K25" s="18">
        <v>2790.27</v>
      </c>
      <c r="L25" s="8">
        <f t="shared" si="1"/>
        <v>5.0000062718023527E-2</v>
      </c>
    </row>
    <row r="26" spans="1:12" x14ac:dyDescent="0.15">
      <c r="A26" s="3" t="s">
        <v>10</v>
      </c>
      <c r="B26" s="3" t="s">
        <v>11</v>
      </c>
      <c r="C26" s="5">
        <v>29428</v>
      </c>
      <c r="D26" s="5">
        <v>45369</v>
      </c>
      <c r="E26" s="5">
        <v>45660</v>
      </c>
      <c r="G26" s="3">
        <v>194</v>
      </c>
      <c r="H26" s="6">
        <v>4268</v>
      </c>
      <c r="I26" s="6">
        <v>4268</v>
      </c>
      <c r="J26" s="6">
        <v>4268</v>
      </c>
      <c r="K26" s="18">
        <v>0</v>
      </c>
      <c r="L26" s="8">
        <f t="shared" si="1"/>
        <v>0</v>
      </c>
    </row>
    <row r="27" spans="1:12" x14ac:dyDescent="0.15">
      <c r="A27" s="3" t="s">
        <v>43</v>
      </c>
      <c r="B27" s="3" t="s">
        <v>44</v>
      </c>
      <c r="C27" s="5">
        <v>34194</v>
      </c>
      <c r="D27" s="5">
        <v>45407</v>
      </c>
      <c r="G27" s="3">
        <v>2200</v>
      </c>
      <c r="H27" s="6">
        <v>59099.03</v>
      </c>
      <c r="I27" s="6">
        <v>59099.03</v>
      </c>
      <c r="J27" s="6">
        <v>62249.03</v>
      </c>
      <c r="K27" s="18">
        <v>2954.95</v>
      </c>
      <c r="L27" s="8">
        <f t="shared" si="1"/>
        <v>4.9999974618872761E-2</v>
      </c>
    </row>
    <row r="28" spans="1:12" x14ac:dyDescent="0.15">
      <c r="A28" s="3" t="s">
        <v>33</v>
      </c>
      <c r="B28" s="3" t="s">
        <v>34</v>
      </c>
      <c r="C28" s="5">
        <v>31490</v>
      </c>
      <c r="D28" s="5">
        <v>45460</v>
      </c>
      <c r="G28" s="3">
        <v>2245</v>
      </c>
      <c r="H28" s="6">
        <v>67093.55</v>
      </c>
      <c r="I28" s="6">
        <v>67093.55</v>
      </c>
      <c r="J28" s="6">
        <v>67093.55</v>
      </c>
      <c r="K28" s="18">
        <v>3354.68</v>
      </c>
      <c r="L28" s="8">
        <f t="shared" si="1"/>
        <v>5.0000037261405901E-2</v>
      </c>
    </row>
    <row r="29" spans="1:12" x14ac:dyDescent="0.15">
      <c r="A29" s="3" t="s">
        <v>29</v>
      </c>
      <c r="B29" s="3" t="s">
        <v>30</v>
      </c>
      <c r="C29" s="5">
        <v>25807</v>
      </c>
      <c r="D29" s="5">
        <v>45586</v>
      </c>
      <c r="G29" s="3">
        <v>2182</v>
      </c>
      <c r="H29" s="6">
        <v>61761.93</v>
      </c>
      <c r="I29" s="6">
        <v>61761.93</v>
      </c>
      <c r="J29" s="6">
        <v>61761.93</v>
      </c>
      <c r="K29" s="18">
        <v>3088.1</v>
      </c>
      <c r="L29" s="8">
        <f t="shared" si="1"/>
        <v>5.000005666921354E-2</v>
      </c>
    </row>
    <row r="30" spans="1:12" x14ac:dyDescent="0.15">
      <c r="C30" s="5"/>
      <c r="D30" s="5"/>
      <c r="H30" s="6"/>
      <c r="I30" s="6"/>
      <c r="J30" s="6"/>
      <c r="K30" s="18"/>
      <c r="L30" s="8"/>
    </row>
    <row r="31" spans="1:12" x14ac:dyDescent="0.15">
      <c r="A31" s="3" t="s">
        <v>134</v>
      </c>
      <c r="B31" s="3" t="s">
        <v>53</v>
      </c>
      <c r="C31" s="5">
        <v>24669</v>
      </c>
      <c r="D31" s="5">
        <v>45677</v>
      </c>
      <c r="G31" s="3">
        <v>2208</v>
      </c>
      <c r="H31" s="6">
        <v>63990.559999999998</v>
      </c>
      <c r="I31" s="6">
        <v>63990.559999999998</v>
      </c>
      <c r="J31" s="6">
        <v>63990.559999999998</v>
      </c>
      <c r="K31" s="18">
        <v>0</v>
      </c>
      <c r="L31" s="8">
        <f t="shared" ref="L31:L36" si="2">K31/I31</f>
        <v>0</v>
      </c>
    </row>
    <row r="32" spans="1:12" x14ac:dyDescent="0.15">
      <c r="A32" s="3" t="s">
        <v>129</v>
      </c>
      <c r="B32" s="3" t="s">
        <v>52</v>
      </c>
      <c r="C32" s="5">
        <v>32341</v>
      </c>
      <c r="D32" s="5">
        <v>45712</v>
      </c>
      <c r="G32" s="3">
        <v>2075</v>
      </c>
      <c r="H32" s="6">
        <v>54575</v>
      </c>
      <c r="I32" s="6">
        <v>54575</v>
      </c>
      <c r="J32" s="6">
        <v>54575</v>
      </c>
      <c r="K32" s="18">
        <v>0</v>
      </c>
      <c r="L32" s="8">
        <f t="shared" si="2"/>
        <v>0</v>
      </c>
    </row>
    <row r="33" spans="1:12" x14ac:dyDescent="0.15">
      <c r="A33" s="3" t="s">
        <v>153</v>
      </c>
      <c r="B33" s="3" t="s">
        <v>63</v>
      </c>
      <c r="C33" s="5">
        <v>34333</v>
      </c>
      <c r="D33" s="5">
        <v>45712</v>
      </c>
      <c r="G33" s="3">
        <v>1781</v>
      </c>
      <c r="H33" s="6">
        <v>50176.49</v>
      </c>
      <c r="I33" s="6">
        <v>50176.49</v>
      </c>
      <c r="J33" s="6">
        <v>50176.49</v>
      </c>
      <c r="K33" s="18">
        <v>0</v>
      </c>
      <c r="L33" s="8">
        <f t="shared" si="2"/>
        <v>0</v>
      </c>
    </row>
    <row r="34" spans="1:12" x14ac:dyDescent="0.15">
      <c r="A34" s="3" t="s">
        <v>54</v>
      </c>
      <c r="B34" s="3" t="s">
        <v>55</v>
      </c>
      <c r="C34" s="5">
        <v>33790</v>
      </c>
      <c r="D34" s="5">
        <v>45754</v>
      </c>
      <c r="G34" s="3">
        <v>1663.75</v>
      </c>
      <c r="H34" s="6">
        <v>48894.53</v>
      </c>
      <c r="I34" s="6">
        <v>48894.53</v>
      </c>
      <c r="J34" s="6">
        <v>48894.53</v>
      </c>
      <c r="K34" s="18">
        <v>0</v>
      </c>
      <c r="L34" s="8">
        <f t="shared" si="2"/>
        <v>0</v>
      </c>
    </row>
    <row r="35" spans="1:12" x14ac:dyDescent="0.15">
      <c r="A35" s="3" t="s">
        <v>143</v>
      </c>
      <c r="B35" s="3" t="s">
        <v>59</v>
      </c>
      <c r="C35" s="5">
        <v>28827</v>
      </c>
      <c r="D35" s="5">
        <v>45817</v>
      </c>
      <c r="G35" s="3">
        <v>1209</v>
      </c>
      <c r="H35" s="6">
        <v>31127.8</v>
      </c>
      <c r="I35" s="6">
        <v>31127.8</v>
      </c>
      <c r="J35" s="6">
        <v>31127.8</v>
      </c>
      <c r="K35" s="18">
        <v>0</v>
      </c>
      <c r="L35" s="8">
        <f t="shared" si="2"/>
        <v>0</v>
      </c>
    </row>
    <row r="36" spans="1:12" x14ac:dyDescent="0.15">
      <c r="A36" s="3" t="s">
        <v>145</v>
      </c>
      <c r="B36" s="3" t="s">
        <v>60</v>
      </c>
      <c r="C36" s="5">
        <v>24457</v>
      </c>
      <c r="D36" s="5">
        <v>45859</v>
      </c>
      <c r="G36" s="3">
        <v>920</v>
      </c>
      <c r="H36" s="6">
        <v>33346.07</v>
      </c>
      <c r="I36" s="6">
        <v>33346.07</v>
      </c>
      <c r="J36" s="6">
        <v>33346.07</v>
      </c>
      <c r="K36" s="18">
        <v>0</v>
      </c>
      <c r="L36" s="8">
        <f t="shared" si="2"/>
        <v>0</v>
      </c>
    </row>
    <row r="37" spans="1:12" x14ac:dyDescent="0.15">
      <c r="C37" s="5"/>
      <c r="D37" s="5"/>
      <c r="H37" s="9"/>
      <c r="I37" s="9"/>
      <c r="J37" s="9"/>
      <c r="K37" s="19"/>
      <c r="L37" s="12"/>
    </row>
    <row r="38" spans="1:12" ht="14" thickBot="1" x14ac:dyDescent="0.2">
      <c r="C38" s="5"/>
      <c r="D38" s="5"/>
      <c r="H38" s="13">
        <f>SUM(H9:H36)</f>
        <v>1432892.4100000001</v>
      </c>
      <c r="I38" s="13">
        <f t="shared" ref="I38:K38" si="3">SUM(I9:I36)</f>
        <v>1432892.4100000001</v>
      </c>
      <c r="J38" s="13">
        <f t="shared" si="3"/>
        <v>1458336.1700000002</v>
      </c>
      <c r="K38" s="20">
        <f t="shared" si="3"/>
        <v>55504.759999999987</v>
      </c>
      <c r="L38" s="13"/>
    </row>
    <row r="39" spans="1:12" ht="14" thickTop="1" x14ac:dyDescent="0.15">
      <c r="C39" s="5"/>
      <c r="D39" s="5"/>
      <c r="H39" s="6"/>
      <c r="I39" s="6"/>
      <c r="J39" s="6"/>
      <c r="K39" s="18"/>
      <c r="L39" s="8"/>
    </row>
    <row r="40" spans="1:12" x14ac:dyDescent="0.15">
      <c r="C40" s="5"/>
      <c r="D40" s="5"/>
      <c r="E40" s="5"/>
      <c r="H40" s="6"/>
      <c r="I40" s="6"/>
      <c r="J40" s="6"/>
      <c r="K40" s="18"/>
      <c r="L40" s="8"/>
    </row>
    <row r="41" spans="1:12" x14ac:dyDescent="0.15">
      <c r="C41" s="5"/>
      <c r="D41" s="5"/>
      <c r="E41" s="5"/>
      <c r="H41" s="6"/>
      <c r="I41" s="6"/>
      <c r="J41" s="6"/>
      <c r="K41" s="18"/>
      <c r="L41" s="8"/>
    </row>
    <row r="42" spans="1:12" x14ac:dyDescent="0.15">
      <c r="C42" s="5"/>
      <c r="D42" s="5"/>
      <c r="H42" s="6"/>
      <c r="I42" s="6"/>
      <c r="J42" s="6"/>
      <c r="K42" s="18"/>
      <c r="L42" s="8"/>
    </row>
    <row r="43" spans="1:12" x14ac:dyDescent="0.15">
      <c r="H43" s="9"/>
      <c r="I43" s="9"/>
      <c r="J43" s="9"/>
      <c r="K43" s="21"/>
      <c r="L43" s="10"/>
    </row>
    <row r="44" spans="1:12" ht="14" thickBot="1" x14ac:dyDescent="0.2">
      <c r="H44" s="11"/>
      <c r="I44" s="11"/>
      <c r="J44" s="11"/>
      <c r="K44" s="20"/>
      <c r="L44" s="11"/>
    </row>
    <row r="45" spans="1:12" ht="14" thickTop="1" x14ac:dyDescent="0.15">
      <c r="K45" s="17"/>
    </row>
    <row r="46" spans="1:12" ht="14" thickBot="1" x14ac:dyDescent="0.2">
      <c r="H46" s="15"/>
      <c r="I46" s="15"/>
      <c r="J46" s="15"/>
      <c r="K46" s="22"/>
      <c r="L46" s="15"/>
    </row>
    <row r="47" spans="1:12" ht="14" thickTop="1" x14ac:dyDescent="0.15"/>
  </sheetData>
  <sortState xmlns:xlrd2="http://schemas.microsoft.com/office/spreadsheetml/2017/richdata2" ref="A31:L36">
    <sortCondition ref="D31:D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1A30-5B92-E246-81BB-94A33C395A17}">
  <dimension ref="A1:Q33"/>
  <sheetViews>
    <sheetView workbookViewId="0">
      <selection activeCell="O1" sqref="O1:O1048576"/>
    </sheetView>
  </sheetViews>
  <sheetFormatPr baseColWidth="10" defaultColWidth="11.1640625" defaultRowHeight="16" x14ac:dyDescent="0.2"/>
  <cols>
    <col min="5" max="5" width="38.33203125" customWidth="1"/>
  </cols>
  <sheetData>
    <row r="1" spans="1:17" x14ac:dyDescent="0.2">
      <c r="A1" s="2" t="s">
        <v>0</v>
      </c>
      <c r="B1" s="2" t="s">
        <v>2</v>
      </c>
      <c r="C1" s="2" t="s">
        <v>1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158</v>
      </c>
      <c r="M1" t="s">
        <v>72</v>
      </c>
      <c r="N1" t="s">
        <v>5</v>
      </c>
      <c r="O1" t="s">
        <v>73</v>
      </c>
      <c r="P1" t="s">
        <v>74</v>
      </c>
      <c r="Q1" t="s">
        <v>75</v>
      </c>
    </row>
    <row r="2" spans="1:17" x14ac:dyDescent="0.2">
      <c r="B2" t="s">
        <v>11</v>
      </c>
      <c r="C2" t="s">
        <v>10</v>
      </c>
      <c r="D2" t="s">
        <v>76</v>
      </c>
      <c r="E2" t="s">
        <v>77</v>
      </c>
      <c r="G2" t="s">
        <v>78</v>
      </c>
      <c r="H2" t="s">
        <v>79</v>
      </c>
      <c r="I2">
        <v>76105</v>
      </c>
      <c r="J2" s="1">
        <v>29428</v>
      </c>
      <c r="K2" s="1">
        <v>45369</v>
      </c>
      <c r="L2" s="1">
        <v>45660</v>
      </c>
      <c r="N2">
        <v>194</v>
      </c>
      <c r="O2">
        <v>0</v>
      </c>
      <c r="P2">
        <v>0</v>
      </c>
      <c r="Q2">
        <v>0</v>
      </c>
    </row>
    <row r="3" spans="1:17" x14ac:dyDescent="0.2">
      <c r="B3" t="s">
        <v>13</v>
      </c>
      <c r="C3" t="s">
        <v>12</v>
      </c>
      <c r="D3" t="s">
        <v>80</v>
      </c>
      <c r="E3" t="s">
        <v>81</v>
      </c>
      <c r="F3" t="s">
        <v>82</v>
      </c>
      <c r="G3" t="s">
        <v>83</v>
      </c>
      <c r="H3" t="s">
        <v>79</v>
      </c>
      <c r="I3">
        <v>75207</v>
      </c>
      <c r="J3" s="1">
        <v>31670</v>
      </c>
      <c r="K3" s="1">
        <v>45159</v>
      </c>
      <c r="N3">
        <v>2249.75</v>
      </c>
      <c r="O3">
        <v>0</v>
      </c>
      <c r="P3">
        <v>0</v>
      </c>
      <c r="Q3">
        <v>0</v>
      </c>
    </row>
    <row r="4" spans="1:17" x14ac:dyDescent="0.2">
      <c r="B4" t="s">
        <v>15</v>
      </c>
      <c r="C4" t="s">
        <v>14</v>
      </c>
      <c r="D4" t="s">
        <v>80</v>
      </c>
      <c r="E4" t="s">
        <v>84</v>
      </c>
      <c r="G4" t="s">
        <v>85</v>
      </c>
      <c r="H4" t="s">
        <v>79</v>
      </c>
      <c r="I4">
        <v>75056</v>
      </c>
      <c r="J4" s="1">
        <v>23877</v>
      </c>
      <c r="K4" s="1">
        <v>44200</v>
      </c>
      <c r="N4">
        <v>2160</v>
      </c>
      <c r="O4">
        <v>2425.71</v>
      </c>
      <c r="P4">
        <v>0</v>
      </c>
      <c r="Q4">
        <v>0</v>
      </c>
    </row>
    <row r="5" spans="1:17" x14ac:dyDescent="0.2">
      <c r="B5" t="s">
        <v>17</v>
      </c>
      <c r="C5" t="s">
        <v>16</v>
      </c>
      <c r="D5" t="s">
        <v>80</v>
      </c>
      <c r="E5" t="s">
        <v>86</v>
      </c>
      <c r="G5" t="s">
        <v>87</v>
      </c>
      <c r="H5" t="s">
        <v>79</v>
      </c>
      <c r="I5">
        <v>75078</v>
      </c>
      <c r="J5" s="1">
        <v>25037</v>
      </c>
      <c r="K5" s="1">
        <v>43857</v>
      </c>
      <c r="L5" s="1">
        <v>45748</v>
      </c>
      <c r="N5">
        <v>1341.25</v>
      </c>
      <c r="O5">
        <v>375.04</v>
      </c>
      <c r="P5">
        <v>0</v>
      </c>
      <c r="Q5">
        <v>0</v>
      </c>
    </row>
    <row r="6" spans="1:17" x14ac:dyDescent="0.2">
      <c r="B6" t="s">
        <v>19</v>
      </c>
      <c r="C6" t="s">
        <v>18</v>
      </c>
      <c r="D6" t="s">
        <v>80</v>
      </c>
      <c r="E6" t="s">
        <v>88</v>
      </c>
      <c r="G6" t="s">
        <v>89</v>
      </c>
      <c r="H6" t="s">
        <v>79</v>
      </c>
      <c r="I6">
        <v>75048</v>
      </c>
      <c r="J6" s="1">
        <v>30158</v>
      </c>
      <c r="K6" s="1">
        <v>45034</v>
      </c>
      <c r="L6" s="1">
        <v>45709</v>
      </c>
      <c r="N6">
        <v>492</v>
      </c>
      <c r="O6">
        <v>0</v>
      </c>
      <c r="P6">
        <v>0</v>
      </c>
      <c r="Q6">
        <v>0</v>
      </c>
    </row>
    <row r="7" spans="1:17" x14ac:dyDescent="0.2">
      <c r="B7" t="s">
        <v>21</v>
      </c>
      <c r="C7" t="s">
        <v>20</v>
      </c>
      <c r="D7" t="s">
        <v>90</v>
      </c>
      <c r="E7" t="s">
        <v>91</v>
      </c>
      <c r="G7" t="s">
        <v>92</v>
      </c>
      <c r="H7" t="s">
        <v>79</v>
      </c>
      <c r="I7">
        <v>75043</v>
      </c>
      <c r="J7" s="1">
        <v>25741</v>
      </c>
      <c r="K7" s="1">
        <v>45320</v>
      </c>
      <c r="N7">
        <v>2252.25</v>
      </c>
      <c r="O7">
        <v>1526.27</v>
      </c>
      <c r="P7">
        <v>0</v>
      </c>
      <c r="Q7">
        <v>0</v>
      </c>
    </row>
    <row r="8" spans="1:17" x14ac:dyDescent="0.2">
      <c r="B8" t="s">
        <v>23</v>
      </c>
      <c r="C8" t="s">
        <v>22</v>
      </c>
      <c r="D8" t="s">
        <v>93</v>
      </c>
      <c r="E8" t="s">
        <v>94</v>
      </c>
      <c r="F8" t="s">
        <v>95</v>
      </c>
      <c r="G8" t="s">
        <v>83</v>
      </c>
      <c r="H8" t="s">
        <v>79</v>
      </c>
      <c r="I8">
        <v>75214</v>
      </c>
      <c r="J8" s="1">
        <v>28688</v>
      </c>
      <c r="K8" s="1">
        <v>45223</v>
      </c>
      <c r="N8">
        <v>2287</v>
      </c>
      <c r="O8">
        <v>1744.6</v>
      </c>
      <c r="P8">
        <v>0</v>
      </c>
      <c r="Q8">
        <v>0</v>
      </c>
    </row>
    <row r="9" spans="1:17" x14ac:dyDescent="0.2">
      <c r="B9" t="s">
        <v>24</v>
      </c>
      <c r="C9" t="s">
        <v>96</v>
      </c>
      <c r="D9" t="s">
        <v>97</v>
      </c>
      <c r="E9" t="s">
        <v>98</v>
      </c>
      <c r="G9" t="s">
        <v>99</v>
      </c>
      <c r="H9" t="s">
        <v>79</v>
      </c>
      <c r="I9">
        <v>75028</v>
      </c>
      <c r="J9" s="1">
        <v>24578</v>
      </c>
      <c r="K9" s="1">
        <v>44221</v>
      </c>
      <c r="L9" s="1">
        <v>45943</v>
      </c>
      <c r="N9">
        <v>1640</v>
      </c>
      <c r="O9">
        <v>2711.91</v>
      </c>
      <c r="P9">
        <v>0</v>
      </c>
      <c r="Q9">
        <v>0</v>
      </c>
    </row>
    <row r="10" spans="1:17" x14ac:dyDescent="0.2">
      <c r="B10" t="s">
        <v>26</v>
      </c>
      <c r="C10" t="s">
        <v>25</v>
      </c>
      <c r="D10" t="s">
        <v>80</v>
      </c>
      <c r="E10" t="s">
        <v>100</v>
      </c>
      <c r="G10" t="s">
        <v>101</v>
      </c>
      <c r="H10" t="s">
        <v>79</v>
      </c>
      <c r="I10">
        <v>75126</v>
      </c>
      <c r="J10" s="1">
        <v>26177</v>
      </c>
      <c r="K10" s="1">
        <v>41974</v>
      </c>
      <c r="N10">
        <v>2160</v>
      </c>
      <c r="O10">
        <v>2874.06</v>
      </c>
      <c r="P10">
        <v>0</v>
      </c>
      <c r="Q10">
        <v>0</v>
      </c>
    </row>
    <row r="11" spans="1:17" x14ac:dyDescent="0.2">
      <c r="B11" t="s">
        <v>28</v>
      </c>
      <c r="C11" t="s">
        <v>27</v>
      </c>
      <c r="E11" t="s">
        <v>102</v>
      </c>
      <c r="G11" t="s">
        <v>103</v>
      </c>
      <c r="H11" t="s">
        <v>79</v>
      </c>
      <c r="I11">
        <v>75154</v>
      </c>
      <c r="J11" s="1">
        <v>27669</v>
      </c>
      <c r="K11" s="1">
        <v>45176</v>
      </c>
      <c r="N11">
        <v>2346.5</v>
      </c>
      <c r="O11">
        <v>0</v>
      </c>
      <c r="P11">
        <v>0</v>
      </c>
      <c r="Q11">
        <v>0</v>
      </c>
    </row>
    <row r="12" spans="1:17" x14ac:dyDescent="0.2">
      <c r="B12" t="s">
        <v>30</v>
      </c>
      <c r="C12" t="s">
        <v>29</v>
      </c>
      <c r="D12" t="s">
        <v>80</v>
      </c>
      <c r="E12" t="s">
        <v>104</v>
      </c>
      <c r="G12" t="s">
        <v>101</v>
      </c>
      <c r="H12" t="s">
        <v>79</v>
      </c>
      <c r="I12">
        <v>75126</v>
      </c>
      <c r="J12" s="1">
        <v>25807</v>
      </c>
      <c r="K12" s="1">
        <v>45586</v>
      </c>
      <c r="N12">
        <v>2182</v>
      </c>
      <c r="O12">
        <v>0</v>
      </c>
      <c r="P12">
        <v>0</v>
      </c>
      <c r="Q12">
        <v>0</v>
      </c>
    </row>
    <row r="13" spans="1:17" x14ac:dyDescent="0.2">
      <c r="B13" t="s">
        <v>32</v>
      </c>
      <c r="C13" t="s">
        <v>31</v>
      </c>
      <c r="D13" t="s">
        <v>105</v>
      </c>
      <c r="E13" t="s">
        <v>106</v>
      </c>
      <c r="G13" t="s">
        <v>107</v>
      </c>
      <c r="H13" t="s">
        <v>79</v>
      </c>
      <c r="I13">
        <v>75142</v>
      </c>
      <c r="J13" s="1">
        <v>31167</v>
      </c>
      <c r="K13" s="1">
        <v>45189</v>
      </c>
      <c r="N13">
        <v>2160</v>
      </c>
      <c r="O13">
        <v>2192.5500000000002</v>
      </c>
      <c r="P13">
        <v>0</v>
      </c>
      <c r="Q13">
        <v>0</v>
      </c>
    </row>
    <row r="14" spans="1:17" x14ac:dyDescent="0.2">
      <c r="B14" t="s">
        <v>34</v>
      </c>
      <c r="C14" t="s">
        <v>33</v>
      </c>
      <c r="E14" t="s">
        <v>108</v>
      </c>
      <c r="G14" t="s">
        <v>109</v>
      </c>
      <c r="H14" t="s">
        <v>79</v>
      </c>
      <c r="I14">
        <v>75051</v>
      </c>
      <c r="J14" s="1">
        <v>31490</v>
      </c>
      <c r="K14" s="1">
        <v>45460</v>
      </c>
      <c r="N14">
        <v>2245</v>
      </c>
      <c r="O14">
        <v>0</v>
      </c>
      <c r="P14">
        <v>0</v>
      </c>
      <c r="Q14">
        <v>0</v>
      </c>
    </row>
    <row r="15" spans="1:17" x14ac:dyDescent="0.2">
      <c r="B15" t="s">
        <v>36</v>
      </c>
      <c r="C15" t="s">
        <v>35</v>
      </c>
      <c r="D15" t="s">
        <v>110</v>
      </c>
      <c r="E15" t="s">
        <v>111</v>
      </c>
      <c r="G15" t="s">
        <v>112</v>
      </c>
      <c r="H15" t="s">
        <v>79</v>
      </c>
      <c r="I15">
        <v>75023</v>
      </c>
      <c r="J15" s="1">
        <v>31790</v>
      </c>
      <c r="K15" s="1">
        <v>45243</v>
      </c>
      <c r="N15">
        <v>2171.5</v>
      </c>
      <c r="O15">
        <v>1163.21</v>
      </c>
      <c r="P15">
        <v>0</v>
      </c>
      <c r="Q15">
        <v>0</v>
      </c>
    </row>
    <row r="16" spans="1:17" x14ac:dyDescent="0.2">
      <c r="B16" t="s">
        <v>38</v>
      </c>
      <c r="C16" t="s">
        <v>37</v>
      </c>
      <c r="E16" t="s">
        <v>113</v>
      </c>
      <c r="G16" t="s">
        <v>114</v>
      </c>
      <c r="H16" t="s">
        <v>79</v>
      </c>
      <c r="I16">
        <v>75182</v>
      </c>
      <c r="J16" s="1">
        <v>20888</v>
      </c>
      <c r="K16" s="1">
        <v>31382</v>
      </c>
      <c r="N16">
        <v>2080</v>
      </c>
      <c r="O16">
        <v>6300</v>
      </c>
      <c r="P16">
        <v>0</v>
      </c>
      <c r="Q16">
        <v>0</v>
      </c>
    </row>
    <row r="17" spans="2:17" x14ac:dyDescent="0.2">
      <c r="B17" t="s">
        <v>40</v>
      </c>
      <c r="C17" t="s">
        <v>39</v>
      </c>
      <c r="D17" t="s">
        <v>115</v>
      </c>
      <c r="E17" t="s">
        <v>116</v>
      </c>
      <c r="G17" t="s">
        <v>83</v>
      </c>
      <c r="H17" t="s">
        <v>79</v>
      </c>
      <c r="I17">
        <v>75220</v>
      </c>
      <c r="J17" s="1">
        <v>28694</v>
      </c>
      <c r="K17" s="1">
        <v>44739</v>
      </c>
      <c r="N17">
        <v>2135.5</v>
      </c>
      <c r="O17">
        <v>4200</v>
      </c>
      <c r="P17">
        <v>0</v>
      </c>
      <c r="Q17">
        <v>0</v>
      </c>
    </row>
    <row r="18" spans="2:17" x14ac:dyDescent="0.2">
      <c r="B18" t="s">
        <v>42</v>
      </c>
      <c r="C18" t="s">
        <v>41</v>
      </c>
      <c r="E18" t="s">
        <v>117</v>
      </c>
      <c r="G18" t="s">
        <v>118</v>
      </c>
      <c r="H18" t="s">
        <v>79</v>
      </c>
      <c r="I18">
        <v>75150</v>
      </c>
      <c r="J18" s="1">
        <v>35335</v>
      </c>
      <c r="K18" s="1">
        <v>45355</v>
      </c>
      <c r="N18">
        <v>2113.0100000000002</v>
      </c>
      <c r="O18">
        <v>1229.29</v>
      </c>
      <c r="P18">
        <v>0</v>
      </c>
      <c r="Q18">
        <v>0</v>
      </c>
    </row>
    <row r="19" spans="2:17" x14ac:dyDescent="0.2">
      <c r="B19" t="s">
        <v>44</v>
      </c>
      <c r="C19" t="s">
        <v>43</v>
      </c>
      <c r="D19" t="s">
        <v>110</v>
      </c>
      <c r="E19" t="s">
        <v>119</v>
      </c>
      <c r="G19" t="s">
        <v>120</v>
      </c>
      <c r="H19" t="s">
        <v>79</v>
      </c>
      <c r="I19">
        <v>75088</v>
      </c>
      <c r="J19" s="1">
        <v>34194</v>
      </c>
      <c r="K19" s="1">
        <v>45407</v>
      </c>
      <c r="N19">
        <v>2200</v>
      </c>
      <c r="O19">
        <v>3150</v>
      </c>
      <c r="P19">
        <v>0</v>
      </c>
      <c r="Q19">
        <v>0</v>
      </c>
    </row>
    <row r="20" spans="2:17" x14ac:dyDescent="0.2">
      <c r="B20" t="s">
        <v>46</v>
      </c>
      <c r="C20" t="s">
        <v>45</v>
      </c>
      <c r="D20" t="s">
        <v>105</v>
      </c>
      <c r="E20" t="s">
        <v>121</v>
      </c>
      <c r="F20" t="s">
        <v>122</v>
      </c>
      <c r="G20" t="s">
        <v>123</v>
      </c>
      <c r="H20" t="s">
        <v>79</v>
      </c>
      <c r="I20">
        <v>75287</v>
      </c>
      <c r="J20" s="1">
        <v>36838</v>
      </c>
      <c r="K20" s="1">
        <v>45334</v>
      </c>
      <c r="L20" s="1">
        <v>45695</v>
      </c>
      <c r="N20">
        <v>284.5</v>
      </c>
      <c r="O20">
        <v>0</v>
      </c>
      <c r="P20">
        <v>0</v>
      </c>
      <c r="Q20">
        <v>0</v>
      </c>
    </row>
    <row r="21" spans="2:17" x14ac:dyDescent="0.2">
      <c r="B21" t="s">
        <v>38</v>
      </c>
      <c r="C21" t="s">
        <v>47</v>
      </c>
      <c r="D21" t="s">
        <v>90</v>
      </c>
      <c r="E21" t="s">
        <v>124</v>
      </c>
      <c r="F21" t="s">
        <v>125</v>
      </c>
      <c r="G21" t="s">
        <v>83</v>
      </c>
      <c r="H21" t="s">
        <v>79</v>
      </c>
      <c r="I21">
        <v>75204</v>
      </c>
      <c r="J21" s="1">
        <v>35169</v>
      </c>
      <c r="K21" s="1">
        <v>42856</v>
      </c>
      <c r="N21">
        <v>2160</v>
      </c>
      <c r="O21">
        <v>6688.08</v>
      </c>
      <c r="P21">
        <v>0</v>
      </c>
      <c r="Q21">
        <v>0</v>
      </c>
    </row>
    <row r="22" spans="2:17" x14ac:dyDescent="0.2">
      <c r="B22" t="s">
        <v>49</v>
      </c>
      <c r="C22" t="s">
        <v>48</v>
      </c>
      <c r="D22" t="s">
        <v>126</v>
      </c>
      <c r="E22" t="s">
        <v>127</v>
      </c>
      <c r="G22" t="s">
        <v>83</v>
      </c>
      <c r="H22" t="s">
        <v>79</v>
      </c>
      <c r="I22">
        <v>75217</v>
      </c>
      <c r="J22" s="1">
        <v>36305</v>
      </c>
      <c r="K22" s="1">
        <v>45061</v>
      </c>
      <c r="L22" s="1">
        <v>45660</v>
      </c>
      <c r="N22">
        <v>107.25</v>
      </c>
      <c r="O22">
        <v>0</v>
      </c>
      <c r="P22">
        <v>0</v>
      </c>
      <c r="Q22">
        <v>0</v>
      </c>
    </row>
    <row r="23" spans="2:17" x14ac:dyDescent="0.2">
      <c r="B23" t="s">
        <v>51</v>
      </c>
      <c r="C23" t="s">
        <v>50</v>
      </c>
      <c r="E23" t="s">
        <v>128</v>
      </c>
      <c r="G23" t="s">
        <v>112</v>
      </c>
      <c r="H23" t="s">
        <v>79</v>
      </c>
      <c r="I23">
        <v>75074</v>
      </c>
      <c r="J23" s="1">
        <v>36023</v>
      </c>
      <c r="K23" s="1">
        <v>45196</v>
      </c>
      <c r="N23">
        <v>2038.25</v>
      </c>
      <c r="O23">
        <v>1851.12</v>
      </c>
      <c r="P23">
        <v>0</v>
      </c>
      <c r="Q23">
        <v>0</v>
      </c>
    </row>
    <row r="24" spans="2:17" x14ac:dyDescent="0.2">
      <c r="B24" t="s">
        <v>52</v>
      </c>
      <c r="C24" t="s">
        <v>129</v>
      </c>
      <c r="D24" t="s">
        <v>130</v>
      </c>
      <c r="E24" t="s">
        <v>131</v>
      </c>
      <c r="F24" t="s">
        <v>132</v>
      </c>
      <c r="G24" t="s">
        <v>133</v>
      </c>
      <c r="H24" t="s">
        <v>79</v>
      </c>
      <c r="I24">
        <v>75401</v>
      </c>
      <c r="J24" s="1">
        <v>32341</v>
      </c>
      <c r="K24" s="1">
        <v>45712</v>
      </c>
      <c r="N24">
        <v>2075</v>
      </c>
      <c r="O24">
        <v>0</v>
      </c>
      <c r="P24">
        <v>0</v>
      </c>
      <c r="Q24">
        <v>0</v>
      </c>
    </row>
    <row r="25" spans="2:17" x14ac:dyDescent="0.2">
      <c r="B25" t="s">
        <v>53</v>
      </c>
      <c r="C25" t="s">
        <v>134</v>
      </c>
      <c r="D25" t="s">
        <v>115</v>
      </c>
      <c r="E25" t="s">
        <v>135</v>
      </c>
      <c r="F25" t="s">
        <v>136</v>
      </c>
      <c r="G25" t="s">
        <v>83</v>
      </c>
      <c r="H25" t="s">
        <v>79</v>
      </c>
      <c r="I25">
        <v>75252</v>
      </c>
      <c r="J25" s="1">
        <v>24669</v>
      </c>
      <c r="K25" s="1">
        <v>45677</v>
      </c>
      <c r="N25">
        <v>2208</v>
      </c>
      <c r="O25">
        <v>0</v>
      </c>
      <c r="P25">
        <v>0</v>
      </c>
      <c r="Q25">
        <v>0</v>
      </c>
    </row>
    <row r="26" spans="2:17" x14ac:dyDescent="0.2">
      <c r="B26" t="s">
        <v>55</v>
      </c>
      <c r="C26" t="s">
        <v>54</v>
      </c>
      <c r="E26" t="s">
        <v>137</v>
      </c>
      <c r="F26" t="s">
        <v>138</v>
      </c>
      <c r="G26" t="s">
        <v>83</v>
      </c>
      <c r="H26" t="s">
        <v>79</v>
      </c>
      <c r="I26">
        <v>75254</v>
      </c>
      <c r="J26" s="1">
        <v>33790</v>
      </c>
      <c r="K26" s="1">
        <v>45754</v>
      </c>
      <c r="N26">
        <v>1663.75</v>
      </c>
      <c r="O26">
        <v>0</v>
      </c>
      <c r="P26">
        <v>0</v>
      </c>
      <c r="Q26">
        <v>0</v>
      </c>
    </row>
    <row r="27" spans="2:17" x14ac:dyDescent="0.2">
      <c r="B27" t="s">
        <v>56</v>
      </c>
      <c r="C27" t="s">
        <v>139</v>
      </c>
      <c r="D27" t="s">
        <v>76</v>
      </c>
      <c r="E27" t="s">
        <v>140</v>
      </c>
      <c r="G27" t="s">
        <v>141</v>
      </c>
      <c r="H27" t="s">
        <v>79</v>
      </c>
      <c r="I27">
        <v>75143</v>
      </c>
      <c r="J27" s="1">
        <v>22008</v>
      </c>
      <c r="K27" s="1">
        <v>45273</v>
      </c>
      <c r="N27">
        <v>425</v>
      </c>
      <c r="O27">
        <v>0</v>
      </c>
      <c r="P27">
        <v>0</v>
      </c>
      <c r="Q27">
        <v>0</v>
      </c>
    </row>
    <row r="28" spans="2:17" x14ac:dyDescent="0.2">
      <c r="B28" t="s">
        <v>58</v>
      </c>
      <c r="C28" t="s">
        <v>57</v>
      </c>
      <c r="E28" t="s">
        <v>142</v>
      </c>
      <c r="G28" t="s">
        <v>85</v>
      </c>
      <c r="H28" t="s">
        <v>79</v>
      </c>
      <c r="I28">
        <v>75067</v>
      </c>
      <c r="J28" s="1">
        <v>30270</v>
      </c>
      <c r="K28" s="1">
        <v>45684</v>
      </c>
      <c r="L28" s="1">
        <v>45747</v>
      </c>
      <c r="N28">
        <v>245.25</v>
      </c>
      <c r="O28">
        <v>0</v>
      </c>
      <c r="P28">
        <v>0</v>
      </c>
      <c r="Q28">
        <v>0</v>
      </c>
    </row>
    <row r="29" spans="2:17" x14ac:dyDescent="0.2">
      <c r="B29" t="s">
        <v>59</v>
      </c>
      <c r="C29" t="s">
        <v>143</v>
      </c>
      <c r="D29" t="s">
        <v>93</v>
      </c>
      <c r="E29" t="s">
        <v>144</v>
      </c>
      <c r="G29" t="s">
        <v>83</v>
      </c>
      <c r="H29" t="s">
        <v>79</v>
      </c>
      <c r="I29">
        <v>75224</v>
      </c>
      <c r="J29" s="1">
        <v>28827</v>
      </c>
      <c r="K29" s="1">
        <v>45817</v>
      </c>
      <c r="N29">
        <v>1209</v>
      </c>
      <c r="O29">
        <v>0</v>
      </c>
      <c r="P29">
        <v>0</v>
      </c>
      <c r="Q29">
        <v>0</v>
      </c>
    </row>
    <row r="30" spans="2:17" x14ac:dyDescent="0.2">
      <c r="B30" t="s">
        <v>60</v>
      </c>
      <c r="C30" t="s">
        <v>145</v>
      </c>
      <c r="D30" t="s">
        <v>93</v>
      </c>
      <c r="E30" t="s">
        <v>146</v>
      </c>
      <c r="G30" t="s">
        <v>147</v>
      </c>
      <c r="H30" t="s">
        <v>79</v>
      </c>
      <c r="I30">
        <v>75491</v>
      </c>
      <c r="J30" s="1">
        <v>24457</v>
      </c>
      <c r="K30" s="1">
        <v>45859</v>
      </c>
      <c r="N30">
        <v>920</v>
      </c>
      <c r="O30">
        <v>0</v>
      </c>
      <c r="P30">
        <v>0</v>
      </c>
      <c r="Q30">
        <v>0</v>
      </c>
    </row>
    <row r="31" spans="2:17" x14ac:dyDescent="0.2">
      <c r="B31" t="s">
        <v>61</v>
      </c>
      <c r="C31" t="s">
        <v>148</v>
      </c>
      <c r="D31" t="s">
        <v>93</v>
      </c>
      <c r="E31" t="s">
        <v>149</v>
      </c>
      <c r="G31" t="s">
        <v>150</v>
      </c>
      <c r="H31" t="s">
        <v>79</v>
      </c>
      <c r="I31">
        <v>75070</v>
      </c>
      <c r="J31" s="1">
        <v>26409</v>
      </c>
      <c r="K31" s="1">
        <v>46009</v>
      </c>
      <c r="N31">
        <v>55.5</v>
      </c>
      <c r="O31">
        <v>0</v>
      </c>
      <c r="P31">
        <v>0</v>
      </c>
      <c r="Q31">
        <v>0</v>
      </c>
    </row>
    <row r="32" spans="2:17" x14ac:dyDescent="0.2">
      <c r="B32" t="s">
        <v>49</v>
      </c>
      <c r="C32" t="s">
        <v>62</v>
      </c>
      <c r="E32" t="s">
        <v>151</v>
      </c>
      <c r="G32" t="s">
        <v>152</v>
      </c>
      <c r="H32" t="s">
        <v>79</v>
      </c>
      <c r="I32">
        <v>75060</v>
      </c>
      <c r="J32" s="1">
        <v>25261</v>
      </c>
      <c r="K32" s="1">
        <v>45866</v>
      </c>
      <c r="L32" s="1">
        <v>45918</v>
      </c>
      <c r="N32">
        <v>316</v>
      </c>
      <c r="O32">
        <v>0</v>
      </c>
      <c r="P32">
        <v>0</v>
      </c>
      <c r="Q32">
        <v>0</v>
      </c>
    </row>
    <row r="33" spans="2:17" x14ac:dyDescent="0.2">
      <c r="B33" t="s">
        <v>63</v>
      </c>
      <c r="C33" t="s">
        <v>153</v>
      </c>
      <c r="D33" t="s">
        <v>154</v>
      </c>
      <c r="E33" t="s">
        <v>155</v>
      </c>
      <c r="F33" t="s">
        <v>156</v>
      </c>
      <c r="G33" t="s">
        <v>157</v>
      </c>
      <c r="H33" t="s">
        <v>79</v>
      </c>
      <c r="I33">
        <v>75010</v>
      </c>
      <c r="J33" s="1">
        <v>34333</v>
      </c>
      <c r="K33" s="1">
        <v>45712</v>
      </c>
      <c r="N33">
        <v>1781</v>
      </c>
      <c r="O33">
        <v>0</v>
      </c>
      <c r="P33">
        <v>0</v>
      </c>
      <c r="Q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census2026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Moore</dc:creator>
  <cp:lastModifiedBy>Nick Moore</cp:lastModifiedBy>
  <dcterms:created xsi:type="dcterms:W3CDTF">2026-01-10T09:10:34Z</dcterms:created>
  <dcterms:modified xsi:type="dcterms:W3CDTF">2026-02-26T09:46:16Z</dcterms:modified>
</cp:coreProperties>
</file>